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F24C6ACF-43D0-48FF-A998-51D3DCF3C5B9}" xr6:coauthVersionLast="47" xr6:coauthVersionMax="47" xr10:uidLastSave="{00000000-0000-0000-0000-000000000000}"/>
  <bookViews>
    <workbookView xWindow="-108" yWindow="-108" windowWidth="23256" windowHeight="12456" activeTab="1" xr2:uid="{FAE6B2F6-4343-41DD-9B57-C5CA2B546024}"/>
  </bookViews>
  <sheets>
    <sheet name="sales_dataset" sheetId="1" r:id="rId1"/>
    <sheet name="Pivot" sheetId="2" r:id="rId2"/>
    <sheet name="DashBoard" sheetId="3" r:id="rId3"/>
    <sheet name="Slicers" sheetId="8" r:id="rId4"/>
  </sheets>
  <definedNames>
    <definedName name="_xlnm._FilterDatabase" localSheetId="0" hidden="1">sales_dataset!$C$1:$L$201</definedName>
    <definedName name="Slicer_Date">#N/A</definedName>
    <definedName name="Slicer_Product">#N/A</definedName>
    <definedName name="Slicer_Region">#N/A</definedName>
    <definedName name="Slicer_Sales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<sst xmlns="http://schemas.openxmlformats.org/spreadsheetml/2006/main" count="676" uniqueCount="35">
  <si>
    <t>Date</t>
  </si>
  <si>
    <t>Region</t>
  </si>
  <si>
    <t>Product</t>
  </si>
  <si>
    <t>Sales Rep</t>
  </si>
  <si>
    <t>Units Sold</t>
  </si>
  <si>
    <t>Price</t>
  </si>
  <si>
    <t>Cost</t>
  </si>
  <si>
    <t xml:space="preserve">Profit Margin </t>
  </si>
  <si>
    <t>Negombo</t>
  </si>
  <si>
    <t>Product C</t>
  </si>
  <si>
    <t>Rep 3</t>
  </si>
  <si>
    <t>Rep 1</t>
  </si>
  <si>
    <t>Product A</t>
  </si>
  <si>
    <t>Rep 2</t>
  </si>
  <si>
    <t>Colombo</t>
  </si>
  <si>
    <t>Rep 4</t>
  </si>
  <si>
    <t>Product B</t>
  </si>
  <si>
    <t>Kandy</t>
  </si>
  <si>
    <t>Galle</t>
  </si>
  <si>
    <t>Grand Total</t>
  </si>
  <si>
    <t xml:space="preserve">Revenue </t>
  </si>
  <si>
    <t xml:space="preserve">Profit </t>
  </si>
  <si>
    <t>Profit</t>
  </si>
  <si>
    <t xml:space="preserve"> Units Sold</t>
  </si>
  <si>
    <t xml:space="preserve">Profit Margin(%) </t>
  </si>
  <si>
    <t>Jan</t>
  </si>
  <si>
    <t xml:space="preserve"> Revenue </t>
  </si>
  <si>
    <t xml:space="preserve">Product </t>
  </si>
  <si>
    <t>Sum of Units Sold</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</si>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</sst>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Segoe UI Semibold"/>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3" tint="0.59999389629810485"/>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9" fontId="0" fillId="0" borderId="0" xfId="0" applyNumberFormat="1"/>
    <xf numFmtId="0" fontId="0" fillId="33" borderId="0" xfId="0" applyFill="1"/>
    <xf numFmtId="44" fontId="0" fillId="0" borderId="0" xfId="42" applyFont="1"/>
    <xf numFmtId="0" fontId="0" fillId="34" borderId="0" xfId="0" applyFill="1"/>
    <xf numFmtId="0" fontId="0" fillId="35" borderId="0" xfId="0" applyFill="1"/>
    <xf numFmtId="0" fontId="0" fillId="36" borderId="0" xfId="0" applyFill="1"/>
    <xf numFmtId="164" fontId="0" fillId="36" borderId="0" xfId="0" applyNumberFormat="1" applyFill="1"/>
    <xf numFmtId="5" fontId="0" fillId="36" borderId="0" xfId="0" applyNumberFormat="1" applyFill="1"/>
    <xf numFmtId="0" fontId="0" fillId="36" borderId="0" xfId="0" applyFill="1" applyAlignment="1">
      <alignment horizontal="left"/>
    </xf>
    <xf numFmtId="0" fontId="0" fillId="36" borderId="0" xfId="0" applyNumberFormat="1" applyFill="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fill>
        <patternFill>
          <bgColor theme="4" tint="0.59999389629810485"/>
        </patternFill>
      </fill>
    </dxf>
    <dxf>
      <fill>
        <patternFill>
          <bgColor theme="4" tint="0.59999389629810485"/>
        </patternFill>
      </fill>
    </dxf>
    <dxf>
      <fill>
        <patternFill>
          <bgColor theme="4" tint="0.59999389629810485"/>
        </patternFill>
      </fill>
    </dxf>
    <dxf>
      <numFmt numFmtId="9" formatCode="&quot;$&quot;#,##0_);\(&quot;$&quot;#,##0\)"/>
    </dxf>
    <dxf>
      <numFmt numFmtId="9" formatCode="&quot;$&quot;#,##0_);\(&quot;$&quot;#,##0\)"/>
    </dxf>
    <dxf>
      <numFmt numFmtId="11" formatCode="&quot;$&quot;#,##0.00_);\(&quot;$&quot;#,##0.0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165" formatCode="_(&quot;$&quot;* #,##0.000_);_(&quot;$&quot;* \(#,##0.000\);_(&quot;$&quot;* &quot;-&quot;??_);_(@_)"/>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4" formatCode="_(&quot;$&quot;* #,##0_);_(&quot;$&quot;* \(#,##0\);_(&quot;$&quot;* &quot;-&quot;??_);_(@_)"/>
    </dxf>
    <dxf>
      <numFmt numFmtId="164" formatCode="_(&quot;$&quot;* #,##0_);_(&quot;$&quot;* \(#,##0\);_(&quot;$&quot;* &quot;-&quot;??_);_(@_)"/>
    </dxf>
    <dxf>
      <numFmt numFmtId="9" formatCode="&quot;$&quot;#,##0_);\(&quot;$&quot;#,##0\)"/>
    </dxf>
    <dxf>
      <numFmt numFmtId="9" formatCode="&quot;$&quot;#,##0_);\(&quot;$&quot;#,##0\)"/>
    </dxf>
    <dxf>
      <numFmt numFmtId="165" formatCode="_(&quot;$&quot;* #,##0.000_);_(&quot;$&quot;* \(#,##0.000\);_(&quot;$&quot;* &quot;-&quot;??_);_(@_)"/>
    </dxf>
    <dxf>
      <numFmt numFmtId="11" formatCode="&quot;$&quot;#,##0.00_);\(&quot;$&quot;#,##0.0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[sales_dataset(1)(1).xlsx]Pivot!PivotTable4</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3648293963253"/>
          <c:y val="0.14249781277340332"/>
          <c:w val="0.64123818897637797"/>
          <c:h val="0.65853091280256637"/>
        </c:manualLayout>
      </c:layout>
      <c:lineChart>
        <c:grouping val="standard"/>
        <c:varyColors val="0"/>
        <c:ser>
          <c:idx val="0"/>
          <c:order val="0"/>
          <c:tx>
            <c:strRef>
              <c:f>Pivot!$K$5</c:f>
              <c:strCache>
                <c:ptCount val="1"/>
                <c:pt idx="0">
                  <c:v>Revenue </c:v>
                </c:pt>
              </c:strCache>
            </c:strRef>
          </c:tx>
          <c:spPr>
            <a:ln w="28575" cap="rnd">
              <a:solidFill>
                <a:schemeClr val="accent1"/>
              </a:solidFill>
              <a:round/>
            </a:ln>
            <a:effectLst/>
          </c:spPr>
          <c:marker>
            <c:symbol val="none"/>
          </c:marker>
          <c:cat>
            <c:strRef>
              <c:f>Pivot!$J$6:$J$13</c:f>
              <c:strCache>
                <c:ptCount val="7"/>
                <c:pt idx="0">
                  <c:v>Jan</c:v>
                </c:pt>
                <c:pt idx="1">
                  <c:v>Feb</c:v>
                </c:pt>
                <c:pt idx="2">
                  <c:v>Mar</c:v>
                </c:pt>
                <c:pt idx="3">
                  <c:v>Apr</c:v>
                </c:pt>
                <c:pt idx="4">
                  <c:v>May</c:v>
                </c:pt>
                <c:pt idx="5">
                  <c:v>Jun</c:v>
                </c:pt>
                <c:pt idx="6">
                  <c:v>Jul</c:v>
                </c:pt>
              </c:strCache>
            </c:strRef>
          </c:cat>
          <c:val>
            <c:numRef>
              <c:f>Pivot!$K$6:$K$13</c:f>
              <c:numCache>
                <c:formatCode>_("$"* #,##0_);_("$"* \(#,##0\);_("$"* "-"??_);_(@_)</c:formatCode>
                <c:ptCount val="7"/>
                <c:pt idx="0">
                  <c:v>4893055</c:v>
                </c:pt>
                <c:pt idx="1">
                  <c:v>4455387</c:v>
                </c:pt>
                <c:pt idx="2">
                  <c:v>4441240</c:v>
                </c:pt>
                <c:pt idx="3">
                  <c:v>2803117</c:v>
                </c:pt>
                <c:pt idx="4">
                  <c:v>5205528</c:v>
                </c:pt>
                <c:pt idx="5">
                  <c:v>4266157</c:v>
                </c:pt>
                <c:pt idx="6">
                  <c:v>3529360</c:v>
                </c:pt>
              </c:numCache>
            </c:numRef>
          </c:val>
          <c:smooth val="0"/>
          <c:extLst>
            <c:ext xmlns:c16="http://schemas.microsoft.com/office/drawing/2014/chart" uri="{C3380CC4-5D6E-409C-BE32-E72D297353CC}">
              <c16:uniqueId val="{00000000-BEFD-49CB-A109-84414E67DD17}"/>
            </c:ext>
          </c:extLst>
        </c:ser>
        <c:ser>
          <c:idx val="1"/>
          <c:order val="1"/>
          <c:tx>
            <c:strRef>
              <c:f>Pivot!$L$5</c:f>
              <c:strCache>
                <c:ptCount val="1"/>
                <c:pt idx="0">
                  <c:v>Profit</c:v>
                </c:pt>
              </c:strCache>
            </c:strRef>
          </c:tx>
          <c:spPr>
            <a:ln w="28575" cap="rnd">
              <a:solidFill>
                <a:schemeClr val="accent2"/>
              </a:solidFill>
              <a:round/>
            </a:ln>
            <a:effectLst/>
          </c:spPr>
          <c:marker>
            <c:symbol val="none"/>
          </c:marker>
          <c:cat>
            <c:strRef>
              <c:f>Pivot!$J$6:$J$13</c:f>
              <c:strCache>
                <c:ptCount val="7"/>
                <c:pt idx="0">
                  <c:v>Jan</c:v>
                </c:pt>
                <c:pt idx="1">
                  <c:v>Feb</c:v>
                </c:pt>
                <c:pt idx="2">
                  <c:v>Mar</c:v>
                </c:pt>
                <c:pt idx="3">
                  <c:v>Apr</c:v>
                </c:pt>
                <c:pt idx="4">
                  <c:v>May</c:v>
                </c:pt>
                <c:pt idx="5">
                  <c:v>Jun</c:v>
                </c:pt>
                <c:pt idx="6">
                  <c:v>Jul</c:v>
                </c:pt>
              </c:strCache>
            </c:strRef>
          </c:cat>
          <c:val>
            <c:numRef>
              <c:f>Pivot!$L$6:$L$13</c:f>
              <c:numCache>
                <c:formatCode>_("$"* #,##0_);_("$"* \(#,##0\);_("$"* "-"??_);_(@_)</c:formatCode>
                <c:ptCount val="7"/>
                <c:pt idx="0">
                  <c:v>1811553</c:v>
                </c:pt>
                <c:pt idx="1">
                  <c:v>1543622</c:v>
                </c:pt>
                <c:pt idx="2">
                  <c:v>1745573</c:v>
                </c:pt>
                <c:pt idx="3">
                  <c:v>1068427</c:v>
                </c:pt>
                <c:pt idx="4">
                  <c:v>1780357</c:v>
                </c:pt>
                <c:pt idx="5">
                  <c:v>1653064</c:v>
                </c:pt>
                <c:pt idx="6">
                  <c:v>1057492</c:v>
                </c:pt>
              </c:numCache>
            </c:numRef>
          </c:val>
          <c:smooth val="0"/>
          <c:extLst>
            <c:ext xmlns:c16="http://schemas.microsoft.com/office/drawing/2014/chart" uri="{C3380CC4-5D6E-409C-BE32-E72D297353CC}">
              <c16:uniqueId val="{00000001-BEFD-49CB-A109-84414E67DD17}"/>
            </c:ext>
          </c:extLst>
        </c:ser>
        <c:dLbls>
          <c:showLegendKey val="0"/>
          <c:showVal val="0"/>
          <c:showCatName val="0"/>
          <c:showSerName val="0"/>
          <c:showPercent val="0"/>
          <c:showBubbleSize val="0"/>
        </c:dLbls>
        <c:smooth val="0"/>
        <c:axId val="1563163744"/>
        <c:axId val="1718640000"/>
      </c:lineChart>
      <c:catAx>
        <c:axId val="15631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40000"/>
        <c:crosses val="autoZero"/>
        <c:auto val="1"/>
        <c:lblAlgn val="ctr"/>
        <c:lblOffset val="100"/>
        <c:noMultiLvlLbl val="0"/>
      </c:catAx>
      <c:valAx>
        <c:axId val="1718640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6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[sales_dataset(1)(1).xlsx]Pivot!PivotTable1</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Pivot!$E$5</c:f>
              <c:strCache>
                <c:ptCount val="1"/>
                <c:pt idx="0">
                  <c:v>Profit</c:v>
                </c:pt>
              </c:strCache>
            </c:strRef>
          </c:tx>
          <c:spPr>
            <a:solidFill>
              <a:schemeClr val="accent1"/>
            </a:solidFill>
            <a:ln>
              <a:noFill/>
            </a:ln>
            <a:effectLst/>
            <a:sp3d/>
          </c:spPr>
          <c:invertIfNegative val="0"/>
          <c:cat>
            <c:strRef>
              <c:f>Pivot!$D$6:$D$10</c:f>
              <c:strCache>
                <c:ptCount val="4"/>
                <c:pt idx="0">
                  <c:v>Colombo</c:v>
                </c:pt>
                <c:pt idx="1">
                  <c:v>Galle</c:v>
                </c:pt>
                <c:pt idx="2">
                  <c:v>Kandy</c:v>
                </c:pt>
                <c:pt idx="3">
                  <c:v>Negombo</c:v>
                </c:pt>
              </c:strCache>
            </c:strRef>
          </c:cat>
          <c:val>
            <c:numRef>
              <c:f>Pivot!$E$6:$E$10</c:f>
              <c:numCache>
                <c:formatCode>_("$"* #,##0_);_("$"* \(#,##0\);_("$"* "-"??_);_(@_)</c:formatCode>
                <c:ptCount val="4"/>
                <c:pt idx="0">
                  <c:v>2526196</c:v>
                </c:pt>
                <c:pt idx="1">
                  <c:v>2458330</c:v>
                </c:pt>
                <c:pt idx="2">
                  <c:v>2812751</c:v>
                </c:pt>
                <c:pt idx="3">
                  <c:v>2862811</c:v>
                </c:pt>
              </c:numCache>
            </c:numRef>
          </c:val>
          <c:extLst>
            <c:ext xmlns:c16="http://schemas.microsoft.com/office/drawing/2014/chart" uri="{C3380CC4-5D6E-409C-BE32-E72D297353CC}">
              <c16:uniqueId val="{00000000-C114-4A76-BFEA-2E054C751D4D}"/>
            </c:ext>
          </c:extLst>
        </c:ser>
        <c:ser>
          <c:idx val="1"/>
          <c:order val="1"/>
          <c:tx>
            <c:strRef>
              <c:f>Pivot!$F$5</c:f>
              <c:strCache>
                <c:ptCount val="1"/>
                <c:pt idx="0">
                  <c:v>Revenue </c:v>
                </c:pt>
              </c:strCache>
            </c:strRef>
          </c:tx>
          <c:spPr>
            <a:solidFill>
              <a:schemeClr val="accent2"/>
            </a:solidFill>
            <a:ln>
              <a:noFill/>
            </a:ln>
            <a:effectLst/>
            <a:sp3d/>
          </c:spPr>
          <c:invertIfNegative val="0"/>
          <c:cat>
            <c:strRef>
              <c:f>Pivot!$D$6:$D$10</c:f>
              <c:strCache>
                <c:ptCount val="4"/>
                <c:pt idx="0">
                  <c:v>Colombo</c:v>
                </c:pt>
                <c:pt idx="1">
                  <c:v>Galle</c:v>
                </c:pt>
                <c:pt idx="2">
                  <c:v>Kandy</c:v>
                </c:pt>
                <c:pt idx="3">
                  <c:v>Negombo</c:v>
                </c:pt>
              </c:strCache>
            </c:strRef>
          </c:cat>
          <c:val>
            <c:numRef>
              <c:f>Pivot!$F$6:$F$10</c:f>
              <c:numCache>
                <c:formatCode>"$"#,##0_);\("$"#,##0\)</c:formatCode>
                <c:ptCount val="4"/>
                <c:pt idx="0">
                  <c:v>6778765</c:v>
                </c:pt>
                <c:pt idx="1">
                  <c:v>7352099</c:v>
                </c:pt>
                <c:pt idx="2">
                  <c:v>6447553</c:v>
                </c:pt>
                <c:pt idx="3">
                  <c:v>9015427</c:v>
                </c:pt>
              </c:numCache>
            </c:numRef>
          </c:val>
          <c:extLst>
            <c:ext xmlns:c16="http://schemas.microsoft.com/office/drawing/2014/chart" uri="{C3380CC4-5D6E-409C-BE32-E72D297353CC}">
              <c16:uniqueId val="{00000001-C114-4A76-BFEA-2E054C751D4D}"/>
            </c:ext>
          </c:extLst>
        </c:ser>
        <c:ser>
          <c:idx val="2"/>
          <c:order val="2"/>
          <c:tx>
            <c:strRef>
              <c:f>Pivot!$G$5</c:f>
              <c:strCache>
                <c:ptCount val="1"/>
                <c:pt idx="0">
                  <c:v> Units Sold</c:v>
                </c:pt>
              </c:strCache>
            </c:strRef>
          </c:tx>
          <c:spPr>
            <a:solidFill>
              <a:schemeClr val="accent3"/>
            </a:solidFill>
            <a:ln>
              <a:noFill/>
            </a:ln>
            <a:effectLst/>
            <a:sp3d/>
          </c:spPr>
          <c:invertIfNegative val="0"/>
          <c:cat>
            <c:strRef>
              <c:f>Pivot!$D$6:$D$10</c:f>
              <c:strCache>
                <c:ptCount val="4"/>
                <c:pt idx="0">
                  <c:v>Colombo</c:v>
                </c:pt>
                <c:pt idx="1">
                  <c:v>Galle</c:v>
                </c:pt>
                <c:pt idx="2">
                  <c:v>Kandy</c:v>
                </c:pt>
                <c:pt idx="3">
                  <c:v>Negombo</c:v>
                </c:pt>
              </c:strCache>
            </c:strRef>
          </c:cat>
          <c:val>
            <c:numRef>
              <c:f>Pivot!$G$6:$G$10</c:f>
              <c:numCache>
                <c:formatCode>General</c:formatCode>
                <c:ptCount val="4"/>
                <c:pt idx="0">
                  <c:v>2405</c:v>
                </c:pt>
                <c:pt idx="1">
                  <c:v>2414</c:v>
                </c:pt>
                <c:pt idx="2">
                  <c:v>2177</c:v>
                </c:pt>
                <c:pt idx="3">
                  <c:v>3369</c:v>
                </c:pt>
              </c:numCache>
            </c:numRef>
          </c:val>
          <c:extLst>
            <c:ext xmlns:c16="http://schemas.microsoft.com/office/drawing/2014/chart" uri="{C3380CC4-5D6E-409C-BE32-E72D297353CC}">
              <c16:uniqueId val="{00000002-C114-4A76-BFEA-2E054C751D4D}"/>
            </c:ext>
          </c:extLst>
        </c:ser>
        <c:dLbls>
          <c:showLegendKey val="0"/>
          <c:showVal val="0"/>
          <c:showCatName val="0"/>
          <c:showSerName val="0"/>
          <c:showPercent val="0"/>
          <c:showBubbleSize val="0"/>
        </c:dLbls>
        <c:gapWidth val="150"/>
        <c:shape val="box"/>
        <c:axId val="1127074976"/>
        <c:axId val="1127080256"/>
        <c:axId val="0"/>
      </c:bar3DChart>
      <c:catAx>
        <c:axId val="112707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80256"/>
        <c:crosses val="autoZero"/>
        <c:auto val="1"/>
        <c:lblAlgn val="ctr"/>
        <c:lblOffset val="100"/>
        <c:noMultiLvlLbl val="0"/>
      </c:catAx>
      <c:valAx>
        <c:axId val="1127080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7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Pivot!$E$19</c:f>
              <c:strCache>
                <c:ptCount val="1"/>
                <c:pt idx="0">
                  <c:v>Revenue </c:v>
                </c:pt>
              </c:strCache>
            </c:strRef>
          </c:tx>
          <c:spPr>
            <a:solidFill>
              <a:schemeClr val="accent1"/>
            </a:solidFill>
            <a:ln>
              <a:noFill/>
            </a:ln>
            <a:effectLst/>
          </c:spPr>
          <c:invertIfNegative val="0"/>
          <c:cat>
            <c:strRef>
              <c:f>Pivot!$D$20:$D$23</c:f>
              <c:strCache>
                <c:ptCount val="3"/>
                <c:pt idx="0">
                  <c:v>Product A</c:v>
                </c:pt>
                <c:pt idx="1">
                  <c:v>Product B</c:v>
                </c:pt>
                <c:pt idx="2">
                  <c:v>Product C</c:v>
                </c:pt>
              </c:strCache>
            </c:strRef>
          </c:cat>
          <c:val>
            <c:numRef>
              <c:f>Pivot!$E$20:$E$23</c:f>
              <c:numCache>
                <c:formatCode>_("$"* #,##0_);_("$"* \(#,##0\);_("$"* "-"??_);_(@_)</c:formatCode>
                <c:ptCount val="3"/>
                <c:pt idx="0">
                  <c:v>9257575</c:v>
                </c:pt>
                <c:pt idx="1">
                  <c:v>11604754</c:v>
                </c:pt>
                <c:pt idx="2">
                  <c:v>8731515</c:v>
                </c:pt>
              </c:numCache>
            </c:numRef>
          </c:val>
          <c:extLst>
            <c:ext xmlns:c16="http://schemas.microsoft.com/office/drawing/2014/chart" uri="{C3380CC4-5D6E-409C-BE32-E72D297353CC}">
              <c16:uniqueId val="{00000000-1769-45BB-9522-60840C2DAF46}"/>
            </c:ext>
          </c:extLst>
        </c:ser>
        <c:ser>
          <c:idx val="1"/>
          <c:order val="1"/>
          <c:tx>
            <c:strRef>
              <c:f>Pivot!$F$19</c:f>
              <c:strCache>
                <c:ptCount val="1"/>
                <c:pt idx="0">
                  <c:v>Profit Margin(%) </c:v>
                </c:pt>
              </c:strCache>
            </c:strRef>
          </c:tx>
          <c:spPr>
            <a:solidFill>
              <a:schemeClr val="accent2"/>
            </a:solidFill>
            <a:ln>
              <a:noFill/>
            </a:ln>
            <a:effectLst/>
          </c:spPr>
          <c:invertIfNegative val="0"/>
          <c:cat>
            <c:strRef>
              <c:f>Pivot!$D$20:$D$23</c:f>
              <c:strCache>
                <c:ptCount val="3"/>
                <c:pt idx="0">
                  <c:v>Product A</c:v>
                </c:pt>
                <c:pt idx="1">
                  <c:v>Product B</c:v>
                </c:pt>
                <c:pt idx="2">
                  <c:v>Product C</c:v>
                </c:pt>
              </c:strCache>
            </c:strRef>
          </c:cat>
          <c:val>
            <c:numRef>
              <c:f>Pivot!$F$20:$F$23</c:f>
              <c:numCache>
                <c:formatCode>General</c:formatCode>
                <c:ptCount val="3"/>
                <c:pt idx="0">
                  <c:v>20.9</c:v>
                </c:pt>
                <c:pt idx="1">
                  <c:v>16.430000000000003</c:v>
                </c:pt>
                <c:pt idx="2">
                  <c:v>10.02</c:v>
                </c:pt>
              </c:numCache>
            </c:numRef>
          </c:val>
          <c:extLst>
            <c:ext xmlns:c16="http://schemas.microsoft.com/office/drawing/2014/chart" uri="{C3380CC4-5D6E-409C-BE32-E72D297353CC}">
              <c16:uniqueId val="{00000001-1769-45BB-9522-60840C2DAF46}"/>
            </c:ext>
          </c:extLst>
        </c:ser>
        <c:ser>
          <c:idx val="2"/>
          <c:order val="2"/>
          <c:tx>
            <c:strRef>
              <c:f>Pivot!$G$19</c:f>
              <c:strCache>
                <c:ptCount val="1"/>
                <c:pt idx="0">
                  <c:v>Profit</c:v>
                </c:pt>
              </c:strCache>
            </c:strRef>
          </c:tx>
          <c:spPr>
            <a:solidFill>
              <a:schemeClr val="accent3"/>
            </a:solidFill>
            <a:ln>
              <a:noFill/>
            </a:ln>
            <a:effectLst/>
          </c:spPr>
          <c:invertIfNegative val="0"/>
          <c:cat>
            <c:strRef>
              <c:f>Pivot!$D$20:$D$23</c:f>
              <c:strCache>
                <c:ptCount val="3"/>
                <c:pt idx="0">
                  <c:v>Product A</c:v>
                </c:pt>
                <c:pt idx="1">
                  <c:v>Product B</c:v>
                </c:pt>
                <c:pt idx="2">
                  <c:v>Product C</c:v>
                </c:pt>
              </c:strCache>
            </c:strRef>
          </c:cat>
          <c:val>
            <c:numRef>
              <c:f>Pivot!$G$20:$G$23</c:f>
              <c:numCache>
                <c:formatCode>_("$"* #,##0_);_("$"* \(#,##0\);_("$"* "-"??_);_(@_)</c:formatCode>
                <c:ptCount val="3"/>
                <c:pt idx="0">
                  <c:v>3793412</c:v>
                </c:pt>
                <c:pt idx="1">
                  <c:v>4002044</c:v>
                </c:pt>
                <c:pt idx="2">
                  <c:v>2864632</c:v>
                </c:pt>
              </c:numCache>
            </c:numRef>
          </c:val>
          <c:extLst>
            <c:ext xmlns:c16="http://schemas.microsoft.com/office/drawing/2014/chart" uri="{C3380CC4-5D6E-409C-BE32-E72D297353CC}">
              <c16:uniqueId val="{00000002-1769-45BB-9522-60840C2DAF46}"/>
            </c:ext>
          </c:extLst>
        </c:ser>
        <c:dLbls>
          <c:showLegendKey val="0"/>
          <c:showVal val="0"/>
          <c:showCatName val="0"/>
          <c:showSerName val="0"/>
          <c:showPercent val="0"/>
          <c:showBubbleSize val="0"/>
        </c:dLbls>
        <c:gapWidth val="219"/>
        <c:overlap val="-27"/>
        <c:axId val="1132731040"/>
        <c:axId val="1611430288"/>
      </c:barChart>
      <c:catAx>
        <c:axId val="11327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30288"/>
        <c:crosses val="autoZero"/>
        <c:auto val="1"/>
        <c:lblAlgn val="ctr"/>
        <c:lblOffset val="100"/>
        <c:noMultiLvlLbl val="0"/>
      </c:catAx>
      <c:valAx>
        <c:axId val="1611430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[sales_dataset(1)(1).xlsx]Pivot!PivotTable11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Pivot!$E$42:$E$43</c:f>
              <c:strCache>
                <c:ptCount val="1"/>
                <c:pt idx="0">
                  <c:v>Product A</c:v>
                </c:pt>
              </c:strCache>
            </c:strRef>
          </c:tx>
          <c:spPr>
            <a:solidFill>
              <a:schemeClr val="accent1"/>
            </a:solidFill>
            <a:ln>
              <a:noFill/>
            </a:ln>
            <a:effectLst/>
          </c:spPr>
          <c:invertIfNegative val="0"/>
          <c:cat>
            <c:strRef>
              <c:f>Pivot!$D$44:$D$48</c:f>
              <c:strCache>
                <c:ptCount val="4"/>
                <c:pt idx="0">
                  <c:v>Colombo</c:v>
                </c:pt>
                <c:pt idx="1">
                  <c:v>Galle</c:v>
                </c:pt>
                <c:pt idx="2">
                  <c:v>Kandy</c:v>
                </c:pt>
                <c:pt idx="3">
                  <c:v>Negombo</c:v>
                </c:pt>
              </c:strCache>
            </c:strRef>
          </c:cat>
          <c:val>
            <c:numRef>
              <c:f>Pivot!$E$44:$E$48</c:f>
              <c:numCache>
                <c:formatCode>_("$"* #,##0_);_("$"* \(#,##0\);_("$"* "-"??_);_(@_)</c:formatCode>
                <c:ptCount val="4"/>
                <c:pt idx="0">
                  <c:v>1137915</c:v>
                </c:pt>
                <c:pt idx="1">
                  <c:v>455895</c:v>
                </c:pt>
                <c:pt idx="2">
                  <c:v>918334</c:v>
                </c:pt>
                <c:pt idx="3">
                  <c:v>1281268</c:v>
                </c:pt>
              </c:numCache>
            </c:numRef>
          </c:val>
          <c:extLst>
            <c:ext xmlns:c16="http://schemas.microsoft.com/office/drawing/2014/chart" uri="{C3380CC4-5D6E-409C-BE32-E72D297353CC}">
              <c16:uniqueId val="{00000000-088F-4740-B5FF-25E2A9D1E29C}"/>
            </c:ext>
          </c:extLst>
        </c:ser>
        <c:ser>
          <c:idx val="1"/>
          <c:order val="1"/>
          <c:tx>
            <c:strRef>
              <c:f>Pivot!$F$42:$F$43</c:f>
              <c:strCache>
                <c:ptCount val="1"/>
                <c:pt idx="0">
                  <c:v>Product B</c:v>
                </c:pt>
              </c:strCache>
            </c:strRef>
          </c:tx>
          <c:spPr>
            <a:solidFill>
              <a:schemeClr val="accent2"/>
            </a:solidFill>
            <a:ln>
              <a:noFill/>
            </a:ln>
            <a:effectLst/>
          </c:spPr>
          <c:invertIfNegative val="0"/>
          <c:cat>
            <c:strRef>
              <c:f>Pivot!$D$44:$D$48</c:f>
              <c:strCache>
                <c:ptCount val="4"/>
                <c:pt idx="0">
                  <c:v>Colombo</c:v>
                </c:pt>
                <c:pt idx="1">
                  <c:v>Galle</c:v>
                </c:pt>
                <c:pt idx="2">
                  <c:v>Kandy</c:v>
                </c:pt>
                <c:pt idx="3">
                  <c:v>Negombo</c:v>
                </c:pt>
              </c:strCache>
            </c:strRef>
          </c:cat>
          <c:val>
            <c:numRef>
              <c:f>Pivot!$F$44:$F$48</c:f>
              <c:numCache>
                <c:formatCode>_("$"* #,##0_);_("$"* \(#,##0\);_("$"* "-"??_);_(@_)</c:formatCode>
                <c:ptCount val="4"/>
                <c:pt idx="0">
                  <c:v>405468</c:v>
                </c:pt>
                <c:pt idx="1">
                  <c:v>1431867</c:v>
                </c:pt>
                <c:pt idx="2">
                  <c:v>1175388</c:v>
                </c:pt>
                <c:pt idx="3">
                  <c:v>989321</c:v>
                </c:pt>
              </c:numCache>
            </c:numRef>
          </c:val>
          <c:extLst>
            <c:ext xmlns:c16="http://schemas.microsoft.com/office/drawing/2014/chart" uri="{C3380CC4-5D6E-409C-BE32-E72D297353CC}">
              <c16:uniqueId val="{0000000A-088F-4740-B5FF-25E2A9D1E29C}"/>
            </c:ext>
          </c:extLst>
        </c:ser>
        <c:ser>
          <c:idx val="2"/>
          <c:order val="2"/>
          <c:tx>
            <c:strRef>
              <c:f>Pivot!$G$42:$G$43</c:f>
              <c:strCache>
                <c:ptCount val="1"/>
                <c:pt idx="0">
                  <c:v>Product C</c:v>
                </c:pt>
              </c:strCache>
            </c:strRef>
          </c:tx>
          <c:spPr>
            <a:solidFill>
              <a:schemeClr val="accent3"/>
            </a:solidFill>
            <a:ln>
              <a:noFill/>
            </a:ln>
            <a:effectLst/>
          </c:spPr>
          <c:invertIfNegative val="0"/>
          <c:cat>
            <c:strRef>
              <c:f>Pivot!$D$44:$D$48</c:f>
              <c:strCache>
                <c:ptCount val="4"/>
                <c:pt idx="0">
                  <c:v>Colombo</c:v>
                </c:pt>
                <c:pt idx="1">
                  <c:v>Galle</c:v>
                </c:pt>
                <c:pt idx="2">
                  <c:v>Kandy</c:v>
                </c:pt>
                <c:pt idx="3">
                  <c:v>Negombo</c:v>
                </c:pt>
              </c:strCache>
            </c:strRef>
          </c:cat>
          <c:val>
            <c:numRef>
              <c:f>Pivot!$G$44:$G$48</c:f>
              <c:numCache>
                <c:formatCode>_("$"* #,##0_);_("$"* \(#,##0\);_("$"* "-"??_);_(@_)</c:formatCode>
                <c:ptCount val="4"/>
                <c:pt idx="0">
                  <c:v>982813</c:v>
                </c:pt>
                <c:pt idx="1">
                  <c:v>570568</c:v>
                </c:pt>
                <c:pt idx="2">
                  <c:v>719029</c:v>
                </c:pt>
                <c:pt idx="3">
                  <c:v>592222</c:v>
                </c:pt>
              </c:numCache>
            </c:numRef>
          </c:val>
          <c:extLst>
            <c:ext xmlns:c16="http://schemas.microsoft.com/office/drawing/2014/chart" uri="{C3380CC4-5D6E-409C-BE32-E72D297353CC}">
              <c16:uniqueId val="{0000000B-088F-4740-B5FF-25E2A9D1E29C}"/>
            </c:ext>
          </c:extLst>
        </c:ser>
        <c:dLbls>
          <c:showLegendKey val="0"/>
          <c:showVal val="0"/>
          <c:showCatName val="0"/>
          <c:showSerName val="0"/>
          <c:showPercent val="0"/>
          <c:showBubbleSize val="0"/>
        </c:dLbls>
        <c:gapWidth val="150"/>
        <c:axId val="1336135456"/>
        <c:axId val="1336135936"/>
      </c:barChart>
      <c:catAx>
        <c:axId val="13361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936"/>
        <c:crosses val="autoZero"/>
        <c:auto val="1"/>
        <c:lblAlgn val="ctr"/>
        <c:lblOffset val="100"/>
        <c:noMultiLvlLbl val="0"/>
      </c:catAx>
      <c:valAx>
        <c:axId val="1336135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Pivot!$E$42:$E$43</c:f>
              <c:strCache>
                <c:ptCount val="1"/>
                <c:pt idx="0">
                  <c:v>Product A</c:v>
                </c:pt>
              </c:strCache>
            </c:strRef>
          </c:tx>
          <c:spPr>
            <a:solidFill>
              <a:schemeClr val="accent1"/>
            </a:solidFill>
            <a:ln>
              <a:noFill/>
            </a:ln>
            <a:effectLst/>
          </c:spPr>
          <c:invertIfNegative val="0"/>
          <c:cat>
            <c:strRef>
              <c:f>Pivot!$D$44:$D$48</c:f>
              <c:strCache>
                <c:ptCount val="4"/>
                <c:pt idx="0">
                  <c:v>Colombo</c:v>
                </c:pt>
                <c:pt idx="1">
                  <c:v>Galle</c:v>
                </c:pt>
                <c:pt idx="2">
                  <c:v>Kandy</c:v>
                </c:pt>
                <c:pt idx="3">
                  <c:v>Negombo</c:v>
                </c:pt>
              </c:strCache>
            </c:strRef>
          </c:cat>
          <c:val>
            <c:numRef>
              <c:f>Pivot!$E$44:$E$48</c:f>
              <c:numCache>
                <c:formatCode>_("$"* #,##0_);_("$"* \(#,##0\);_("$"* "-"??_);_(@_)</c:formatCode>
                <c:ptCount val="4"/>
                <c:pt idx="0">
                  <c:v>1137915</c:v>
                </c:pt>
                <c:pt idx="1">
                  <c:v>455895</c:v>
                </c:pt>
                <c:pt idx="2">
                  <c:v>918334</c:v>
                </c:pt>
                <c:pt idx="3">
                  <c:v>1281268</c:v>
                </c:pt>
              </c:numCache>
            </c:numRef>
          </c:val>
          <c:extLst>
            <c:ext xmlns:c16="http://schemas.microsoft.com/office/drawing/2014/chart" uri="{C3380CC4-5D6E-409C-BE32-E72D297353CC}">
              <c16:uniqueId val="{00000000-66A3-49FB-99AA-1E6D12CCF711}"/>
            </c:ext>
          </c:extLst>
        </c:ser>
        <c:ser>
          <c:idx val="1"/>
          <c:order val="1"/>
          <c:tx>
            <c:strRef>
              <c:f>Pivot!$F$42:$F$43</c:f>
              <c:strCache>
                <c:ptCount val="1"/>
                <c:pt idx="0">
                  <c:v>Product B</c:v>
                </c:pt>
              </c:strCache>
            </c:strRef>
          </c:tx>
          <c:spPr>
            <a:solidFill>
              <a:schemeClr val="accent2"/>
            </a:solidFill>
            <a:ln>
              <a:noFill/>
            </a:ln>
            <a:effectLst/>
          </c:spPr>
          <c:invertIfNegative val="0"/>
          <c:cat>
            <c:strRef>
              <c:f>Pivot!$D$44:$D$48</c:f>
              <c:strCache>
                <c:ptCount val="4"/>
                <c:pt idx="0">
                  <c:v>Colombo</c:v>
                </c:pt>
                <c:pt idx="1">
                  <c:v>Galle</c:v>
                </c:pt>
                <c:pt idx="2">
                  <c:v>Kandy</c:v>
                </c:pt>
                <c:pt idx="3">
                  <c:v>Negombo</c:v>
                </c:pt>
              </c:strCache>
            </c:strRef>
          </c:cat>
          <c:val>
            <c:numRef>
              <c:f>Pivot!$F$44:$F$48</c:f>
              <c:numCache>
                <c:formatCode>_("$"* #,##0_);_("$"* \(#,##0\);_("$"* "-"??_);_(@_)</c:formatCode>
                <c:ptCount val="4"/>
                <c:pt idx="0">
                  <c:v>405468</c:v>
                </c:pt>
                <c:pt idx="1">
                  <c:v>1431867</c:v>
                </c:pt>
                <c:pt idx="2">
                  <c:v>1175388</c:v>
                </c:pt>
                <c:pt idx="3">
                  <c:v>989321</c:v>
                </c:pt>
              </c:numCache>
            </c:numRef>
          </c:val>
          <c:extLst>
            <c:ext xmlns:c16="http://schemas.microsoft.com/office/drawing/2014/chart" uri="{C3380CC4-5D6E-409C-BE32-E72D297353CC}">
              <c16:uniqueId val="{0000000A-66A3-49FB-99AA-1E6D12CCF711}"/>
            </c:ext>
          </c:extLst>
        </c:ser>
        <c:ser>
          <c:idx val="2"/>
          <c:order val="2"/>
          <c:tx>
            <c:strRef>
              <c:f>Pivot!$G$42:$G$43</c:f>
              <c:strCache>
                <c:ptCount val="1"/>
                <c:pt idx="0">
                  <c:v>Product C</c:v>
                </c:pt>
              </c:strCache>
            </c:strRef>
          </c:tx>
          <c:spPr>
            <a:solidFill>
              <a:schemeClr val="accent3"/>
            </a:solidFill>
            <a:ln>
              <a:noFill/>
            </a:ln>
            <a:effectLst/>
          </c:spPr>
          <c:invertIfNegative val="0"/>
          <c:cat>
            <c:strRef>
              <c:f>Pivot!$D$44:$D$48</c:f>
              <c:strCache>
                <c:ptCount val="4"/>
                <c:pt idx="0">
                  <c:v>Colombo</c:v>
                </c:pt>
                <c:pt idx="1">
                  <c:v>Galle</c:v>
                </c:pt>
                <c:pt idx="2">
                  <c:v>Kandy</c:v>
                </c:pt>
                <c:pt idx="3">
                  <c:v>Negombo</c:v>
                </c:pt>
              </c:strCache>
            </c:strRef>
          </c:cat>
          <c:val>
            <c:numRef>
              <c:f>Pivot!$G$44:$G$48</c:f>
              <c:numCache>
                <c:formatCode>_("$"* #,##0_);_("$"* \(#,##0\);_("$"* "-"??_);_(@_)</c:formatCode>
                <c:ptCount val="4"/>
                <c:pt idx="0">
                  <c:v>982813</c:v>
                </c:pt>
                <c:pt idx="1">
                  <c:v>570568</c:v>
                </c:pt>
                <c:pt idx="2">
                  <c:v>719029</c:v>
                </c:pt>
                <c:pt idx="3">
                  <c:v>592222</c:v>
                </c:pt>
              </c:numCache>
            </c:numRef>
          </c:val>
          <c:extLst>
            <c:ext xmlns:c16="http://schemas.microsoft.com/office/drawing/2014/chart" uri="{C3380CC4-5D6E-409C-BE32-E72D297353CC}">
              <c16:uniqueId val="{0000000B-66A3-49FB-99AA-1E6D12CCF711}"/>
            </c:ext>
          </c:extLst>
        </c:ser>
        <c:dLbls>
          <c:showLegendKey val="0"/>
          <c:showVal val="0"/>
          <c:showCatName val="0"/>
          <c:showSerName val="0"/>
          <c:showPercent val="0"/>
          <c:showBubbleSize val="0"/>
        </c:dLbls>
        <c:gapWidth val="150"/>
        <c:axId val="1336135456"/>
        <c:axId val="1336135936"/>
      </c:barChart>
      <c:catAx>
        <c:axId val="13361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936"/>
        <c:crosses val="autoZero"/>
        <c:auto val="1"/>
        <c:lblAlgn val="ctr"/>
        <c:lblOffset val="100"/>
        <c:noMultiLvlLbl val="0"/>
      </c:catAx>
      <c:valAx>
        <c:axId val="1336135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[sales_dataset(1)(1).xlsx]Pivot!PivotTable3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Pivot!$E$29</c:f>
              <c:strCache>
                <c:ptCount val="1"/>
                <c:pt idx="0">
                  <c:v> Revenue </c:v>
                </c:pt>
              </c:strCache>
            </c:strRef>
          </c:tx>
          <c:spPr>
            <a:solidFill>
              <a:schemeClr val="accent1"/>
            </a:solidFill>
            <a:ln>
              <a:noFill/>
            </a:ln>
            <a:effectLst/>
          </c:spPr>
          <c:invertIfNegative val="0"/>
          <c:cat>
            <c:strRef>
              <c:f>Pivot!$D$30:$D$34</c:f>
              <c:strCache>
                <c:ptCount val="4"/>
                <c:pt idx="0">
                  <c:v>Rep 1</c:v>
                </c:pt>
                <c:pt idx="1">
                  <c:v>Rep 2</c:v>
                </c:pt>
                <c:pt idx="2">
                  <c:v>Rep 3</c:v>
                </c:pt>
                <c:pt idx="3">
                  <c:v>Rep 4</c:v>
                </c:pt>
              </c:strCache>
            </c:strRef>
          </c:cat>
          <c:val>
            <c:numRef>
              <c:f>Pivot!$E$30:$E$34</c:f>
              <c:numCache>
                <c:formatCode>_("$"* #,##0_);_("$"* \(#,##0\);_("$"* "-"??_);_(@_)</c:formatCode>
                <c:ptCount val="4"/>
                <c:pt idx="0">
                  <c:v>9676867</c:v>
                </c:pt>
                <c:pt idx="1">
                  <c:v>6388761</c:v>
                </c:pt>
                <c:pt idx="2">
                  <c:v>6844740</c:v>
                </c:pt>
                <c:pt idx="3">
                  <c:v>6683476</c:v>
                </c:pt>
              </c:numCache>
            </c:numRef>
          </c:val>
          <c:extLst>
            <c:ext xmlns:c16="http://schemas.microsoft.com/office/drawing/2014/chart" uri="{C3380CC4-5D6E-409C-BE32-E72D297353CC}">
              <c16:uniqueId val="{00000000-8EEC-46F1-A9DB-9B33C1048E16}"/>
            </c:ext>
          </c:extLst>
        </c:ser>
        <c:ser>
          <c:idx val="1"/>
          <c:order val="1"/>
          <c:tx>
            <c:strRef>
              <c:f>Pivot!$F$29</c:f>
              <c:strCache>
                <c:ptCount val="1"/>
                <c:pt idx="0">
                  <c:v>Profit</c:v>
                </c:pt>
              </c:strCache>
            </c:strRef>
          </c:tx>
          <c:spPr>
            <a:solidFill>
              <a:schemeClr val="accent2"/>
            </a:solidFill>
            <a:ln>
              <a:noFill/>
            </a:ln>
            <a:effectLst/>
          </c:spPr>
          <c:invertIfNegative val="0"/>
          <c:cat>
            <c:strRef>
              <c:f>Pivot!$D$30:$D$34</c:f>
              <c:strCache>
                <c:ptCount val="4"/>
                <c:pt idx="0">
                  <c:v>Rep 1</c:v>
                </c:pt>
                <c:pt idx="1">
                  <c:v>Rep 2</c:v>
                </c:pt>
                <c:pt idx="2">
                  <c:v>Rep 3</c:v>
                </c:pt>
                <c:pt idx="3">
                  <c:v>Rep 4</c:v>
                </c:pt>
              </c:strCache>
            </c:strRef>
          </c:cat>
          <c:val>
            <c:numRef>
              <c:f>Pivot!$F$30:$F$34</c:f>
              <c:numCache>
                <c:formatCode>_("$"* #,##0_);_("$"* \(#,##0\);_("$"* "-"??_);_(@_)</c:formatCode>
                <c:ptCount val="4"/>
                <c:pt idx="0">
                  <c:v>3658669</c:v>
                </c:pt>
                <c:pt idx="1">
                  <c:v>1932617</c:v>
                </c:pt>
                <c:pt idx="2">
                  <c:v>2468359</c:v>
                </c:pt>
                <c:pt idx="3">
                  <c:v>2600443</c:v>
                </c:pt>
              </c:numCache>
            </c:numRef>
          </c:val>
          <c:extLst>
            <c:ext xmlns:c16="http://schemas.microsoft.com/office/drawing/2014/chart" uri="{C3380CC4-5D6E-409C-BE32-E72D297353CC}">
              <c16:uniqueId val="{00000001-8EEC-46F1-A9DB-9B33C1048E16}"/>
            </c:ext>
          </c:extLst>
        </c:ser>
        <c:ser>
          <c:idx val="2"/>
          <c:order val="2"/>
          <c:tx>
            <c:strRef>
              <c:f>Pivot!$G$29</c:f>
              <c:strCache>
                <c:ptCount val="1"/>
                <c:pt idx="0">
                  <c:v> Units Sold</c:v>
                </c:pt>
              </c:strCache>
            </c:strRef>
          </c:tx>
          <c:spPr>
            <a:solidFill>
              <a:schemeClr val="accent3"/>
            </a:solidFill>
            <a:ln>
              <a:noFill/>
            </a:ln>
            <a:effectLst/>
          </c:spPr>
          <c:invertIfNegative val="0"/>
          <c:cat>
            <c:strRef>
              <c:f>Pivot!$D$30:$D$34</c:f>
              <c:strCache>
                <c:ptCount val="4"/>
                <c:pt idx="0">
                  <c:v>Rep 1</c:v>
                </c:pt>
                <c:pt idx="1">
                  <c:v>Rep 2</c:v>
                </c:pt>
                <c:pt idx="2">
                  <c:v>Rep 3</c:v>
                </c:pt>
                <c:pt idx="3">
                  <c:v>Rep 4</c:v>
                </c:pt>
              </c:strCache>
            </c:strRef>
          </c:cat>
          <c:val>
            <c:numRef>
              <c:f>Pivot!$G$30:$G$34</c:f>
              <c:numCache>
                <c:formatCode>General</c:formatCode>
                <c:ptCount val="4"/>
                <c:pt idx="0">
                  <c:v>3400</c:v>
                </c:pt>
                <c:pt idx="1">
                  <c:v>2195</c:v>
                </c:pt>
                <c:pt idx="2">
                  <c:v>2492</c:v>
                </c:pt>
                <c:pt idx="3">
                  <c:v>2278</c:v>
                </c:pt>
              </c:numCache>
            </c:numRef>
          </c:val>
          <c:extLst>
            <c:ext xmlns:c16="http://schemas.microsoft.com/office/drawing/2014/chart" uri="{C3380CC4-5D6E-409C-BE32-E72D297353CC}">
              <c16:uniqueId val="{00000002-8EEC-46F1-A9DB-9B33C1048E16}"/>
            </c:ext>
          </c:extLst>
        </c:ser>
        <c:dLbls>
          <c:showLegendKey val="0"/>
          <c:showVal val="0"/>
          <c:showCatName val="0"/>
          <c:showSerName val="0"/>
          <c:showPercent val="0"/>
          <c:showBubbleSize val="0"/>
        </c:dLbls>
        <c:gapWidth val="219"/>
        <c:overlap val="-27"/>
        <c:axId val="1334930752"/>
        <c:axId val="1334931232"/>
      </c:barChart>
      <c:catAx>
        <c:axId val="13349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31232"/>
        <c:crosses val="autoZero"/>
        <c:auto val="1"/>
        <c:lblAlgn val="ctr"/>
        <c:lblOffset val="100"/>
        <c:noMultiLvlLbl val="0"/>
      </c:catAx>
      <c:valAx>
        <c:axId val="13349312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3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1.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10.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3.xml"/><Relationship Id="rId18" Type="http://schemas.openxmlformats.org/officeDocument/2006/relationships/image" Target="../media/image13.png"/><Relationship Id="rId26" Type="http://schemas.openxmlformats.org/officeDocument/2006/relationships/image" Target="../media/image21.jpeg"/><Relationship Id="rId3" Type="http://schemas.openxmlformats.org/officeDocument/2006/relationships/image" Target="../media/image2.png"/><Relationship Id="rId21" Type="http://schemas.openxmlformats.org/officeDocument/2006/relationships/image" Target="../media/image16.svg"/><Relationship Id="rId7" Type="http://schemas.openxmlformats.org/officeDocument/2006/relationships/image" Target="../media/image12.svg"/><Relationship Id="rId12" Type="http://schemas.openxmlformats.org/officeDocument/2006/relationships/chart" Target="../charts/chart2.xml"/><Relationship Id="rId17" Type="http://schemas.openxmlformats.org/officeDocument/2006/relationships/hyperlink" Target="#Slicers!A1"/><Relationship Id="rId25" Type="http://schemas.openxmlformats.org/officeDocument/2006/relationships/image" Target="../media/image20.svg"/><Relationship Id="rId2" Type="http://schemas.openxmlformats.org/officeDocument/2006/relationships/hyperlink" Target="#sales_dataset!A1"/><Relationship Id="rId16" Type="http://schemas.openxmlformats.org/officeDocument/2006/relationships/chart" Target="../charts/chart6.xml"/><Relationship Id="rId20" Type="http://schemas.openxmlformats.org/officeDocument/2006/relationships/image" Target="../media/image15.png"/><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chart" Target="../charts/chart1.xml"/><Relationship Id="rId24" Type="http://schemas.openxmlformats.org/officeDocument/2006/relationships/image" Target="../media/image19.png"/><Relationship Id="rId5" Type="http://schemas.openxmlformats.org/officeDocument/2006/relationships/hyperlink" Target="#Pivot!A1"/><Relationship Id="rId15" Type="http://schemas.openxmlformats.org/officeDocument/2006/relationships/chart" Target="../charts/chart5.xml"/><Relationship Id="rId23" Type="http://schemas.openxmlformats.org/officeDocument/2006/relationships/image" Target="../media/image18.svg"/><Relationship Id="rId10" Type="http://schemas.openxmlformats.org/officeDocument/2006/relationships/image" Target="../media/image7.svg"/><Relationship Id="rId19" Type="http://schemas.openxmlformats.org/officeDocument/2006/relationships/image" Target="../media/image14.sv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4.xml"/><Relationship Id="rId22"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23.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22.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xdr:row>
      <xdr:rowOff>60960</xdr:rowOff>
    </xdr:from>
    <xdr:to>
      <xdr:col>0</xdr:col>
      <xdr:colOff>571500</xdr:colOff>
      <xdr:row>4</xdr:row>
      <xdr:rowOff>53340</xdr:rowOff>
    </xdr:to>
    <xdr:pic>
      <xdr:nvPicPr>
        <xdr:cNvPr id="6" name="Picture 5" descr="Company Logo Vector Art, Icons, and Graphics for Free Download">
          <a:extLst>
            <a:ext uri="{FF2B5EF4-FFF2-40B4-BE49-F238E27FC236}">
              <a16:creationId xmlns:a16="http://schemas.microsoft.com/office/drawing/2014/main" id="{4B3619A7-456B-4819-9256-0F99BFA99C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7" name="Graphic 6" descr="Document with solid fill">
          <a:hlinkClick xmlns:r="http://schemas.openxmlformats.org/officeDocument/2006/relationships" r:id="rId2"/>
          <a:extLst>
            <a:ext uri="{FF2B5EF4-FFF2-40B4-BE49-F238E27FC236}">
              <a16:creationId xmlns:a16="http://schemas.microsoft.com/office/drawing/2014/main" id="{4955E9A1-5767-4F5E-AF54-48A9AD39ED2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8" name="Graphic 7" descr="Newspaper with solid fill">
          <a:hlinkClick xmlns:r="http://schemas.openxmlformats.org/officeDocument/2006/relationships" r:id="rId5"/>
          <a:extLst>
            <a:ext uri="{FF2B5EF4-FFF2-40B4-BE49-F238E27FC236}">
              <a16:creationId xmlns:a16="http://schemas.microsoft.com/office/drawing/2014/main" id="{7110C102-5327-4F5A-B3A0-E1DCCB37B67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9" name="Graphic 8" descr="Gauge with solid fill">
          <a:hlinkClick xmlns:r="http://schemas.openxmlformats.org/officeDocument/2006/relationships" r:id="rId8"/>
          <a:extLst>
            <a:ext uri="{FF2B5EF4-FFF2-40B4-BE49-F238E27FC236}">
              <a16:creationId xmlns:a16="http://schemas.microsoft.com/office/drawing/2014/main" id="{D6033D34-74D3-4916-8388-BC078AF428A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editAs="oneCell">
    <xdr:from>
      <xdr:col>0</xdr:col>
      <xdr:colOff>0</xdr:colOff>
      <xdr:row>25</xdr:row>
      <xdr:rowOff>0</xdr:rowOff>
    </xdr:from>
    <xdr:to>
      <xdr:col>0</xdr:col>
      <xdr:colOff>548640</xdr:colOff>
      <xdr:row>28</xdr:row>
      <xdr:rowOff>0</xdr:rowOff>
    </xdr:to>
    <xdr:pic>
      <xdr:nvPicPr>
        <xdr:cNvPr id="12" name="Graphic 11" descr="Clipboard with solid fill">
          <a:hlinkClick xmlns:r="http://schemas.openxmlformats.org/officeDocument/2006/relationships" r:id="rId11"/>
          <a:extLst>
            <a:ext uri="{FF2B5EF4-FFF2-40B4-BE49-F238E27FC236}">
              <a16:creationId xmlns:a16="http://schemas.microsoft.com/office/drawing/2014/main" id="{DD7C8F31-158F-57CB-F841-32C327BB13E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72000"/>
          <a:ext cx="548640" cy="548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7620</xdr:colOff>
      <xdr:row>3</xdr:row>
      <xdr:rowOff>15240</xdr:rowOff>
    </xdr:to>
    <xdr:sp macro="" textlink="">
      <xdr:nvSpPr>
        <xdr:cNvPr id="2" name="Rectangle: Rounded Corners 1">
          <a:extLst>
            <a:ext uri="{FF2B5EF4-FFF2-40B4-BE49-F238E27FC236}">
              <a16:creationId xmlns:a16="http://schemas.microsoft.com/office/drawing/2014/main" id="{DC984197-2190-EE7F-ED04-A026FA93F1B9}"/>
            </a:ext>
          </a:extLst>
        </xdr:cNvPr>
        <xdr:cNvSpPr/>
      </xdr:nvSpPr>
      <xdr:spPr>
        <a:xfrm>
          <a:off x="1828800" y="182880"/>
          <a:ext cx="2659380" cy="381000"/>
        </a:xfrm>
        <a:prstGeom prst="roundRect">
          <a:avLst>
            <a:gd name="adj" fmla="val 139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01 -Total sales performance</a:t>
          </a:r>
        </a:p>
      </xdr:txBody>
    </xdr:sp>
    <xdr:clientData/>
  </xdr:twoCellAnchor>
  <xdr:twoCellAnchor>
    <xdr:from>
      <xdr:col>3</xdr:col>
      <xdr:colOff>30480</xdr:colOff>
      <xdr:row>13</xdr:row>
      <xdr:rowOff>45720</xdr:rowOff>
    </xdr:from>
    <xdr:to>
      <xdr:col>6</xdr:col>
      <xdr:colOff>647700</xdr:colOff>
      <xdr:row>15</xdr:row>
      <xdr:rowOff>15240</xdr:rowOff>
    </xdr:to>
    <xdr:sp macro="" textlink="">
      <xdr:nvSpPr>
        <xdr:cNvPr id="3" name="Rectangle: Rounded Corners 2">
          <a:extLst>
            <a:ext uri="{FF2B5EF4-FFF2-40B4-BE49-F238E27FC236}">
              <a16:creationId xmlns:a16="http://schemas.microsoft.com/office/drawing/2014/main" id="{54D2DECF-75A1-B1BA-4A44-989BB68AE1EA}"/>
            </a:ext>
          </a:extLst>
        </xdr:cNvPr>
        <xdr:cNvSpPr/>
      </xdr:nvSpPr>
      <xdr:spPr>
        <a:xfrm>
          <a:off x="1859280" y="2423160"/>
          <a:ext cx="3413760" cy="3352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02 - Product Performance</a:t>
          </a:r>
          <a:endParaRPr lang="en-US" sz="1100"/>
        </a:p>
      </xdr:txBody>
    </xdr:sp>
    <xdr:clientData/>
  </xdr:twoCellAnchor>
  <xdr:twoCellAnchor>
    <xdr:from>
      <xdr:col>3</xdr:col>
      <xdr:colOff>38100</xdr:colOff>
      <xdr:row>25</xdr:row>
      <xdr:rowOff>22860</xdr:rowOff>
    </xdr:from>
    <xdr:to>
      <xdr:col>6</xdr:col>
      <xdr:colOff>647700</xdr:colOff>
      <xdr:row>26</xdr:row>
      <xdr:rowOff>167640</xdr:rowOff>
    </xdr:to>
    <xdr:sp macro="" textlink="">
      <xdr:nvSpPr>
        <xdr:cNvPr id="4" name="Rectangle: Rounded Corners 3">
          <a:extLst>
            <a:ext uri="{FF2B5EF4-FFF2-40B4-BE49-F238E27FC236}">
              <a16:creationId xmlns:a16="http://schemas.microsoft.com/office/drawing/2014/main" id="{6C482586-CCCD-B3BE-23CE-5BA68FEF5024}"/>
            </a:ext>
          </a:extLst>
        </xdr:cNvPr>
        <xdr:cNvSpPr/>
      </xdr:nvSpPr>
      <xdr:spPr>
        <a:xfrm>
          <a:off x="1866900" y="4594860"/>
          <a:ext cx="2583180" cy="3276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03 - Sales</a:t>
          </a:r>
          <a:r>
            <a:rPr lang="en-US" sz="1100" b="0" cap="none" spc="0" baseline="0">
              <a:ln w="0"/>
              <a:solidFill>
                <a:schemeClr val="accent1"/>
              </a:solidFill>
              <a:effectLst>
                <a:outerShdw blurRad="38100" dist="25400" dir="5400000" algn="ctr" rotWithShape="0">
                  <a:srgbClr val="6E747A">
                    <a:alpha val="43000"/>
                  </a:srgbClr>
                </a:outerShdw>
              </a:effectLst>
            </a:rPr>
            <a:t> Rep Performance</a:t>
          </a:r>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9</xdr:col>
      <xdr:colOff>60960</xdr:colOff>
      <xdr:row>1</xdr:row>
      <xdr:rowOff>45720</xdr:rowOff>
    </xdr:from>
    <xdr:to>
      <xdr:col>13</xdr:col>
      <xdr:colOff>396240</xdr:colOff>
      <xdr:row>3</xdr:row>
      <xdr:rowOff>0</xdr:rowOff>
    </xdr:to>
    <xdr:sp macro="" textlink="">
      <xdr:nvSpPr>
        <xdr:cNvPr id="5" name="Rectangle: Rounded Corners 4">
          <a:extLst>
            <a:ext uri="{FF2B5EF4-FFF2-40B4-BE49-F238E27FC236}">
              <a16:creationId xmlns:a16="http://schemas.microsoft.com/office/drawing/2014/main" id="{1AFC379D-49AC-6AA1-637A-59691D2B1DD6}"/>
            </a:ext>
          </a:extLst>
        </xdr:cNvPr>
        <xdr:cNvSpPr/>
      </xdr:nvSpPr>
      <xdr:spPr>
        <a:xfrm>
          <a:off x="5760720" y="228600"/>
          <a:ext cx="3779520" cy="3200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04 - Monthly Trend Analysis</a:t>
          </a:r>
        </a:p>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xdr:col>
      <xdr:colOff>22860</xdr:colOff>
      <xdr:row>36</xdr:row>
      <xdr:rowOff>45720</xdr:rowOff>
    </xdr:from>
    <xdr:to>
      <xdr:col>6</xdr:col>
      <xdr:colOff>640080</xdr:colOff>
      <xdr:row>38</xdr:row>
      <xdr:rowOff>68580</xdr:rowOff>
    </xdr:to>
    <xdr:sp macro="" textlink="">
      <xdr:nvSpPr>
        <xdr:cNvPr id="6" name="Rectangle: Rounded Corners 5">
          <a:extLst>
            <a:ext uri="{FF2B5EF4-FFF2-40B4-BE49-F238E27FC236}">
              <a16:creationId xmlns:a16="http://schemas.microsoft.com/office/drawing/2014/main" id="{D1D8A481-078B-6A03-0719-BA453B68A00D}"/>
            </a:ext>
          </a:extLst>
        </xdr:cNvPr>
        <xdr:cNvSpPr/>
      </xdr:nvSpPr>
      <xdr:spPr>
        <a:xfrm>
          <a:off x="1851660" y="6629400"/>
          <a:ext cx="3413760" cy="3886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05 - Region vs Product Analysis</a:t>
          </a:r>
        </a:p>
      </xdr:txBody>
    </xdr:sp>
    <xdr:clientData/>
  </xdr:twoCellAnchor>
  <xdr:twoCellAnchor>
    <xdr:from>
      <xdr:col>3</xdr:col>
      <xdr:colOff>45720</xdr:colOff>
      <xdr:row>50</xdr:row>
      <xdr:rowOff>68580</xdr:rowOff>
    </xdr:from>
    <xdr:to>
      <xdr:col>6</xdr:col>
      <xdr:colOff>640080</xdr:colOff>
      <xdr:row>52</xdr:row>
      <xdr:rowOff>137160</xdr:rowOff>
    </xdr:to>
    <xdr:sp macro="" textlink="">
      <xdr:nvSpPr>
        <xdr:cNvPr id="7" name="Rectangle: Rounded Corners 6">
          <a:extLst>
            <a:ext uri="{FF2B5EF4-FFF2-40B4-BE49-F238E27FC236}">
              <a16:creationId xmlns:a16="http://schemas.microsoft.com/office/drawing/2014/main" id="{2FA025A6-CC2B-56FC-6987-A8C10E4A919A}"/>
            </a:ext>
          </a:extLst>
        </xdr:cNvPr>
        <xdr:cNvSpPr/>
      </xdr:nvSpPr>
      <xdr:spPr>
        <a:xfrm>
          <a:off x="1874520" y="9212580"/>
          <a:ext cx="3390900" cy="4343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06 - Profit Margin Analysis</a:t>
          </a:r>
        </a:p>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0</xdr:col>
      <xdr:colOff>30480</xdr:colOff>
      <xdr:row>1</xdr:row>
      <xdr:rowOff>60960</xdr:rowOff>
    </xdr:from>
    <xdr:to>
      <xdr:col>0</xdr:col>
      <xdr:colOff>571500</xdr:colOff>
      <xdr:row>4</xdr:row>
      <xdr:rowOff>53340</xdr:rowOff>
    </xdr:to>
    <xdr:pic>
      <xdr:nvPicPr>
        <xdr:cNvPr id="16" name="Picture 15" descr="Company Logo Vector Art, Icons, and Graphics for Free Download">
          <a:extLst>
            <a:ext uri="{FF2B5EF4-FFF2-40B4-BE49-F238E27FC236}">
              <a16:creationId xmlns:a16="http://schemas.microsoft.com/office/drawing/2014/main" id="{D65B5306-7A97-47AF-A782-C9E7A89AFA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17" name="Graphic 16" descr="Document with solid fill">
          <a:hlinkClick xmlns:r="http://schemas.openxmlformats.org/officeDocument/2006/relationships" r:id="rId2"/>
          <a:extLst>
            <a:ext uri="{FF2B5EF4-FFF2-40B4-BE49-F238E27FC236}">
              <a16:creationId xmlns:a16="http://schemas.microsoft.com/office/drawing/2014/main" id="{7E33152B-24FF-4A1E-A71F-448B4606E0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18" name="Graphic 17" descr="Newspaper with solid fill">
          <a:hlinkClick xmlns:r="http://schemas.openxmlformats.org/officeDocument/2006/relationships" r:id="rId5"/>
          <a:extLst>
            <a:ext uri="{FF2B5EF4-FFF2-40B4-BE49-F238E27FC236}">
              <a16:creationId xmlns:a16="http://schemas.microsoft.com/office/drawing/2014/main" id="{E9FE0814-D6BC-40E3-8BE6-B9C424D0AB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19" name="Graphic 18" descr="Gauge with solid fill">
          <a:hlinkClick xmlns:r="http://schemas.openxmlformats.org/officeDocument/2006/relationships" r:id="rId8"/>
          <a:extLst>
            <a:ext uri="{FF2B5EF4-FFF2-40B4-BE49-F238E27FC236}">
              <a16:creationId xmlns:a16="http://schemas.microsoft.com/office/drawing/2014/main" id="{30CFEE3D-9ABB-4831-B20B-B60B31C6931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xdr:from>
      <xdr:col>3</xdr:col>
      <xdr:colOff>7620</xdr:colOff>
      <xdr:row>61</xdr:row>
      <xdr:rowOff>160020</xdr:rowOff>
    </xdr:from>
    <xdr:to>
      <xdr:col>6</xdr:col>
      <xdr:colOff>160020</xdr:colOff>
      <xdr:row>64</xdr:row>
      <xdr:rowOff>15240</xdr:rowOff>
    </xdr:to>
    <xdr:sp macro="" textlink="">
      <xdr:nvSpPr>
        <xdr:cNvPr id="30" name="Rectangle: Rounded Corners 29">
          <a:extLst>
            <a:ext uri="{FF2B5EF4-FFF2-40B4-BE49-F238E27FC236}">
              <a16:creationId xmlns:a16="http://schemas.microsoft.com/office/drawing/2014/main" id="{07ACBB08-EAD7-C373-03F7-E7BCAC0466DD}"/>
            </a:ext>
          </a:extLst>
        </xdr:cNvPr>
        <xdr:cNvSpPr/>
      </xdr:nvSpPr>
      <xdr:spPr>
        <a:xfrm>
          <a:off x="1836420" y="11315700"/>
          <a:ext cx="3147060" cy="403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07</a:t>
          </a:r>
          <a:r>
            <a:rPr lang="en-US" sz="1100" b="0" cap="none" spc="0" baseline="0">
              <a:ln w="0"/>
              <a:solidFill>
                <a:schemeClr val="accent1"/>
              </a:solidFill>
              <a:effectLst>
                <a:outerShdw blurRad="38100" dist="25400" dir="5400000" algn="ctr" rotWithShape="0">
                  <a:srgbClr val="6E747A">
                    <a:alpha val="43000"/>
                  </a:srgbClr>
                </a:outerShdw>
              </a:effectLst>
            </a:rPr>
            <a:t> - Sales Performance </a:t>
          </a:r>
          <a:endParaRPr lang="en-US" sz="1100"/>
        </a:p>
      </xdr:txBody>
    </xdr:sp>
    <xdr:clientData/>
  </xdr:twoCellAnchor>
  <xdr:twoCellAnchor editAs="oneCell">
    <xdr:from>
      <xdr:col>0</xdr:col>
      <xdr:colOff>0</xdr:colOff>
      <xdr:row>25</xdr:row>
      <xdr:rowOff>0</xdr:rowOff>
    </xdr:from>
    <xdr:to>
      <xdr:col>1</xdr:col>
      <xdr:colOff>7620</xdr:colOff>
      <xdr:row>28</xdr:row>
      <xdr:rowOff>68580</xdr:rowOff>
    </xdr:to>
    <xdr:pic>
      <xdr:nvPicPr>
        <xdr:cNvPr id="49" name="Graphic 48" descr="Clipboard with solid fill">
          <a:hlinkClick xmlns:r="http://schemas.openxmlformats.org/officeDocument/2006/relationships" r:id="rId11"/>
          <a:extLst>
            <a:ext uri="{FF2B5EF4-FFF2-40B4-BE49-F238E27FC236}">
              <a16:creationId xmlns:a16="http://schemas.microsoft.com/office/drawing/2014/main" id="{FE55C10B-DCEC-D87D-992D-296B176E950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72000"/>
          <a:ext cx="617220"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1</xdr:row>
      <xdr:rowOff>60960</xdr:rowOff>
    </xdr:from>
    <xdr:to>
      <xdr:col>0</xdr:col>
      <xdr:colOff>571500</xdr:colOff>
      <xdr:row>4</xdr:row>
      <xdr:rowOff>53340</xdr:rowOff>
    </xdr:to>
    <xdr:pic>
      <xdr:nvPicPr>
        <xdr:cNvPr id="4" name="Picture 3" descr="Company Logo Vector Art, Icons, and Graphics for Free Download">
          <a:extLst>
            <a:ext uri="{FF2B5EF4-FFF2-40B4-BE49-F238E27FC236}">
              <a16:creationId xmlns:a16="http://schemas.microsoft.com/office/drawing/2014/main" id="{0D72FB5E-A0E3-CD55-FB15-9C74B124E3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7" name="Graphic 6" descr="Document with solid fill">
          <a:hlinkClick xmlns:r="http://schemas.openxmlformats.org/officeDocument/2006/relationships" r:id="rId2"/>
          <a:extLst>
            <a:ext uri="{FF2B5EF4-FFF2-40B4-BE49-F238E27FC236}">
              <a16:creationId xmlns:a16="http://schemas.microsoft.com/office/drawing/2014/main" id="{E8FBD15C-91D5-2309-89DB-30BD7B31D1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9" name="Graphic 8" descr="Newspaper with solid fill">
          <a:hlinkClick xmlns:r="http://schemas.openxmlformats.org/officeDocument/2006/relationships" r:id="rId5"/>
          <a:extLst>
            <a:ext uri="{FF2B5EF4-FFF2-40B4-BE49-F238E27FC236}">
              <a16:creationId xmlns:a16="http://schemas.microsoft.com/office/drawing/2014/main" id="{B9FF835B-459E-687F-A1FB-194639BCE7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11" name="Graphic 10" descr="Gauge with solid fill">
          <a:hlinkClick xmlns:r="http://schemas.openxmlformats.org/officeDocument/2006/relationships" r:id="rId8"/>
          <a:extLst>
            <a:ext uri="{FF2B5EF4-FFF2-40B4-BE49-F238E27FC236}">
              <a16:creationId xmlns:a16="http://schemas.microsoft.com/office/drawing/2014/main" id="{3536E5A6-7C09-A872-A95D-50E1707FFC8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xdr:from>
      <xdr:col>1</xdr:col>
      <xdr:colOff>434340</xdr:colOff>
      <xdr:row>1</xdr:row>
      <xdr:rowOff>76200</xdr:rowOff>
    </xdr:from>
    <xdr:to>
      <xdr:col>14</xdr:col>
      <xdr:colOff>487680</xdr:colOff>
      <xdr:row>5</xdr:row>
      <xdr:rowOff>22860</xdr:rowOff>
    </xdr:to>
    <xdr:sp macro="" textlink="">
      <xdr:nvSpPr>
        <xdr:cNvPr id="12" name="Rectangle: Rounded Corners 11">
          <a:extLst>
            <a:ext uri="{FF2B5EF4-FFF2-40B4-BE49-F238E27FC236}">
              <a16:creationId xmlns:a16="http://schemas.microsoft.com/office/drawing/2014/main" id="{AEDAD33C-F26D-F6BF-12F0-5C878B3BD4E0}"/>
            </a:ext>
          </a:extLst>
        </xdr:cNvPr>
        <xdr:cNvSpPr/>
      </xdr:nvSpPr>
      <xdr:spPr>
        <a:xfrm>
          <a:off x="1043940" y="259080"/>
          <a:ext cx="7978140" cy="6781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0" cap="none" spc="0">
              <a:ln w="0"/>
              <a:solidFill>
                <a:schemeClr val="accent1"/>
              </a:solidFill>
              <a:effectLst>
                <a:outerShdw blurRad="38100" dist="25400" dir="5400000" algn="ctr" rotWithShape="0">
                  <a:srgbClr val="6E747A">
                    <a:alpha val="43000"/>
                  </a:srgbClr>
                </a:outerShdw>
              </a:effectLst>
            </a:rPr>
            <a:t>Sales</a:t>
          </a:r>
          <a:r>
            <a:rPr lang="en-US" sz="2800" b="0" cap="none" spc="0" baseline="0">
              <a:ln w="0"/>
              <a:solidFill>
                <a:schemeClr val="accent1"/>
              </a:solidFill>
              <a:effectLst>
                <a:outerShdw blurRad="38100" dist="25400" dir="5400000" algn="ctr" rotWithShape="0">
                  <a:srgbClr val="6E747A">
                    <a:alpha val="43000"/>
                  </a:srgbClr>
                </a:outerShdw>
              </a:effectLst>
            </a:rPr>
            <a:t> Performance Dashboard</a:t>
          </a:r>
        </a:p>
        <a:p>
          <a:pPr algn="l"/>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251460</xdr:colOff>
      <xdr:row>7</xdr:row>
      <xdr:rowOff>45720</xdr:rowOff>
    </xdr:from>
    <xdr:to>
      <xdr:col>5</xdr:col>
      <xdr:colOff>182880</xdr:colOff>
      <xdr:row>11</xdr:row>
      <xdr:rowOff>129540</xdr:rowOff>
    </xdr:to>
    <xdr:sp macro="" textlink="">
      <xdr:nvSpPr>
        <xdr:cNvPr id="13" name="Rectangle: Rounded Corners 12">
          <a:extLst>
            <a:ext uri="{FF2B5EF4-FFF2-40B4-BE49-F238E27FC236}">
              <a16:creationId xmlns:a16="http://schemas.microsoft.com/office/drawing/2014/main" id="{38E84E95-9B06-F069-86B3-3EFD12EF4B0B}"/>
            </a:ext>
          </a:extLst>
        </xdr:cNvPr>
        <xdr:cNvSpPr/>
      </xdr:nvSpPr>
      <xdr:spPr>
        <a:xfrm>
          <a:off x="861060" y="1325880"/>
          <a:ext cx="2369820" cy="81534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Total</a:t>
          </a:r>
          <a:r>
            <a:rPr lang="en-US" sz="1100" baseline="0">
              <a:solidFill>
                <a:schemeClr val="tx1"/>
              </a:solidFill>
            </a:rPr>
            <a:t> Revenue</a:t>
          </a:r>
          <a:r>
            <a:rPr lang="en-US" sz="1100"/>
            <a:t>29,593,844 </a:t>
          </a:r>
        </a:p>
      </xdr:txBody>
    </xdr:sp>
    <xdr:clientData/>
  </xdr:twoCellAnchor>
  <xdr:twoCellAnchor>
    <xdr:from>
      <xdr:col>6</xdr:col>
      <xdr:colOff>22860</xdr:colOff>
      <xdr:row>7</xdr:row>
      <xdr:rowOff>38100</xdr:rowOff>
    </xdr:from>
    <xdr:to>
      <xdr:col>8</xdr:col>
      <xdr:colOff>586740</xdr:colOff>
      <xdr:row>11</xdr:row>
      <xdr:rowOff>129540</xdr:rowOff>
    </xdr:to>
    <xdr:sp macro="" textlink="">
      <xdr:nvSpPr>
        <xdr:cNvPr id="14" name="Rectangle: Rounded Corners 13">
          <a:extLst>
            <a:ext uri="{FF2B5EF4-FFF2-40B4-BE49-F238E27FC236}">
              <a16:creationId xmlns:a16="http://schemas.microsoft.com/office/drawing/2014/main" id="{973F90FB-0B8B-4858-ABF0-5CE472C4B956}"/>
            </a:ext>
          </a:extLst>
        </xdr:cNvPr>
        <xdr:cNvSpPr/>
      </xdr:nvSpPr>
      <xdr:spPr>
        <a:xfrm>
          <a:off x="3680460" y="1318260"/>
          <a:ext cx="1783080" cy="82296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Total Profit</a:t>
          </a:r>
        </a:p>
      </xdr:txBody>
    </xdr:sp>
    <xdr:clientData/>
  </xdr:twoCellAnchor>
  <xdr:twoCellAnchor>
    <xdr:from>
      <xdr:col>10</xdr:col>
      <xdr:colOff>53340</xdr:colOff>
      <xdr:row>7</xdr:row>
      <xdr:rowOff>76200</xdr:rowOff>
    </xdr:from>
    <xdr:to>
      <xdr:col>12</xdr:col>
      <xdr:colOff>594360</xdr:colOff>
      <xdr:row>11</xdr:row>
      <xdr:rowOff>175260</xdr:rowOff>
    </xdr:to>
    <xdr:sp macro="" textlink="">
      <xdr:nvSpPr>
        <xdr:cNvPr id="15" name="Rectangle: Rounded Corners 14">
          <a:extLst>
            <a:ext uri="{FF2B5EF4-FFF2-40B4-BE49-F238E27FC236}">
              <a16:creationId xmlns:a16="http://schemas.microsoft.com/office/drawing/2014/main" id="{D0B28C3F-0818-49D4-88EA-5C40DFD81DE2}"/>
            </a:ext>
          </a:extLst>
        </xdr:cNvPr>
        <xdr:cNvSpPr/>
      </xdr:nvSpPr>
      <xdr:spPr>
        <a:xfrm>
          <a:off x="6149340" y="1356360"/>
          <a:ext cx="1760220" cy="83058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Unit</a:t>
          </a:r>
          <a:r>
            <a:rPr lang="en-US" sz="1100" baseline="0">
              <a:solidFill>
                <a:schemeClr val="tx1"/>
              </a:solidFill>
            </a:rPr>
            <a:t> Sold</a:t>
          </a:r>
          <a:endParaRPr lang="en-US" sz="1100">
            <a:solidFill>
              <a:schemeClr val="tx1"/>
            </a:solidFill>
          </a:endParaRPr>
        </a:p>
      </xdr:txBody>
    </xdr:sp>
    <xdr:clientData/>
  </xdr:twoCellAnchor>
  <xdr:twoCellAnchor>
    <xdr:from>
      <xdr:col>14</xdr:col>
      <xdr:colOff>38100</xdr:colOff>
      <xdr:row>7</xdr:row>
      <xdr:rowOff>53340</xdr:rowOff>
    </xdr:from>
    <xdr:to>
      <xdr:col>16</xdr:col>
      <xdr:colOff>579120</xdr:colOff>
      <xdr:row>11</xdr:row>
      <xdr:rowOff>152400</xdr:rowOff>
    </xdr:to>
    <xdr:sp macro="" textlink="">
      <xdr:nvSpPr>
        <xdr:cNvPr id="17" name="Rectangle: Rounded Corners 16">
          <a:extLst>
            <a:ext uri="{FF2B5EF4-FFF2-40B4-BE49-F238E27FC236}">
              <a16:creationId xmlns:a16="http://schemas.microsoft.com/office/drawing/2014/main" id="{63FE13B1-C83D-4BF5-A7C2-BB8BB8E9CBCF}"/>
            </a:ext>
          </a:extLst>
        </xdr:cNvPr>
        <xdr:cNvSpPr/>
      </xdr:nvSpPr>
      <xdr:spPr>
        <a:xfrm>
          <a:off x="8572500" y="1333500"/>
          <a:ext cx="1760220" cy="83058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Profit Margin </a:t>
          </a:r>
        </a:p>
      </xdr:txBody>
    </xdr:sp>
    <xdr:clientData/>
  </xdr:twoCellAnchor>
  <xdr:twoCellAnchor>
    <xdr:from>
      <xdr:col>10</xdr:col>
      <xdr:colOff>45720</xdr:colOff>
      <xdr:row>15</xdr:row>
      <xdr:rowOff>0</xdr:rowOff>
    </xdr:from>
    <xdr:to>
      <xdr:col>16</xdr:col>
      <xdr:colOff>563880</xdr:colOff>
      <xdr:row>27</xdr:row>
      <xdr:rowOff>167640</xdr:rowOff>
    </xdr:to>
    <xdr:sp macro="" textlink="">
      <xdr:nvSpPr>
        <xdr:cNvPr id="24" name="Rectangle: Rounded Corners 23">
          <a:extLst>
            <a:ext uri="{FF2B5EF4-FFF2-40B4-BE49-F238E27FC236}">
              <a16:creationId xmlns:a16="http://schemas.microsoft.com/office/drawing/2014/main" id="{80FCA654-BBD4-2B17-B70F-CC7D12B7556D}"/>
            </a:ext>
          </a:extLst>
        </xdr:cNvPr>
        <xdr:cNvSpPr/>
      </xdr:nvSpPr>
      <xdr:spPr>
        <a:xfrm>
          <a:off x="6141720" y="27432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365760</xdr:colOff>
      <xdr:row>15</xdr:row>
      <xdr:rowOff>91440</xdr:rowOff>
    </xdr:from>
    <xdr:to>
      <xdr:col>16</xdr:col>
      <xdr:colOff>289560</xdr:colOff>
      <xdr:row>27</xdr:row>
      <xdr:rowOff>60960</xdr:rowOff>
    </xdr:to>
    <xdr:graphicFrame macro="">
      <xdr:nvGraphicFramePr>
        <xdr:cNvPr id="27" name="Chart 19">
          <a:extLst>
            <a:ext uri="{FF2B5EF4-FFF2-40B4-BE49-F238E27FC236}">
              <a16:creationId xmlns:a16="http://schemas.microsoft.com/office/drawing/2014/main" id="{1994D33E-E058-47B5-A6EF-A0A3C45B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15</xdr:row>
      <xdr:rowOff>38100</xdr:rowOff>
    </xdr:from>
    <xdr:to>
      <xdr:col>8</xdr:col>
      <xdr:colOff>518160</xdr:colOff>
      <xdr:row>28</xdr:row>
      <xdr:rowOff>22860</xdr:rowOff>
    </xdr:to>
    <xdr:sp macro="" textlink="">
      <xdr:nvSpPr>
        <xdr:cNvPr id="29" name="Rectangle: Rounded Corners 28">
          <a:extLst>
            <a:ext uri="{FF2B5EF4-FFF2-40B4-BE49-F238E27FC236}">
              <a16:creationId xmlns:a16="http://schemas.microsoft.com/office/drawing/2014/main" id="{DA41CE7A-2740-41EB-9ECC-5D3C4EE0AB0C}"/>
            </a:ext>
          </a:extLst>
        </xdr:cNvPr>
        <xdr:cNvSpPr/>
      </xdr:nvSpPr>
      <xdr:spPr>
        <a:xfrm>
          <a:off x="1219200" y="27813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198120</xdr:colOff>
      <xdr:row>15</xdr:row>
      <xdr:rowOff>175260</xdr:rowOff>
    </xdr:from>
    <xdr:to>
      <xdr:col>8</xdr:col>
      <xdr:colOff>342900</xdr:colOff>
      <xdr:row>27</xdr:row>
      <xdr:rowOff>53340</xdr:rowOff>
    </xdr:to>
    <xdr:graphicFrame macro="">
      <xdr:nvGraphicFramePr>
        <xdr:cNvPr id="31" name="Chart 22">
          <a:extLst>
            <a:ext uri="{FF2B5EF4-FFF2-40B4-BE49-F238E27FC236}">
              <a16:creationId xmlns:a16="http://schemas.microsoft.com/office/drawing/2014/main" id="{8793A756-C774-4B5D-B9EB-802606CD6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533400</xdr:colOff>
      <xdr:row>30</xdr:row>
      <xdr:rowOff>22860</xdr:rowOff>
    </xdr:from>
    <xdr:to>
      <xdr:col>8</xdr:col>
      <xdr:colOff>441960</xdr:colOff>
      <xdr:row>43</xdr:row>
      <xdr:rowOff>7620</xdr:rowOff>
    </xdr:to>
    <xdr:sp macro="" textlink="">
      <xdr:nvSpPr>
        <xdr:cNvPr id="33" name="Rectangle: Rounded Corners 32">
          <a:extLst>
            <a:ext uri="{FF2B5EF4-FFF2-40B4-BE49-F238E27FC236}">
              <a16:creationId xmlns:a16="http://schemas.microsoft.com/office/drawing/2014/main" id="{F012C807-60CB-4DBB-A10C-DCE8CE5EB0F0}"/>
            </a:ext>
          </a:extLst>
        </xdr:cNvPr>
        <xdr:cNvSpPr/>
      </xdr:nvSpPr>
      <xdr:spPr>
        <a:xfrm>
          <a:off x="1143000" y="550926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190500</xdr:colOff>
      <xdr:row>30</xdr:row>
      <xdr:rowOff>106680</xdr:rowOff>
    </xdr:from>
    <xdr:to>
      <xdr:col>8</xdr:col>
      <xdr:colOff>198120</xdr:colOff>
      <xdr:row>42</xdr:row>
      <xdr:rowOff>91440</xdr:rowOff>
    </xdr:to>
    <xdr:graphicFrame macro="">
      <xdr:nvGraphicFramePr>
        <xdr:cNvPr id="34" name="Chart 25">
          <a:extLst>
            <a:ext uri="{FF2B5EF4-FFF2-40B4-BE49-F238E27FC236}">
              <a16:creationId xmlns:a16="http://schemas.microsoft.com/office/drawing/2014/main" id="{7AAA04A1-E5C6-435C-86DA-217E33F61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137160</xdr:colOff>
      <xdr:row>8</xdr:row>
      <xdr:rowOff>167640</xdr:rowOff>
    </xdr:from>
    <xdr:to>
      <xdr:col>8</xdr:col>
      <xdr:colOff>175260</xdr:colOff>
      <xdr:row>10</xdr:row>
      <xdr:rowOff>129540</xdr:rowOff>
    </xdr:to>
    <xdr:sp macro="" textlink="Pivot!L20">
      <xdr:nvSpPr>
        <xdr:cNvPr id="37" name="Rectangle: Rounded Corners 36">
          <a:extLst>
            <a:ext uri="{FF2B5EF4-FFF2-40B4-BE49-F238E27FC236}">
              <a16:creationId xmlns:a16="http://schemas.microsoft.com/office/drawing/2014/main" id="{FEF7051B-D0B4-4DAF-B333-613F95B35F09}"/>
            </a:ext>
          </a:extLst>
        </xdr:cNvPr>
        <xdr:cNvSpPr/>
      </xdr:nvSpPr>
      <xdr:spPr>
        <a:xfrm>
          <a:off x="3794760" y="1630680"/>
          <a:ext cx="125730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7B97983-9676-4280-BB1E-1635988D58A1}" type="TxLink">
            <a:rPr lang="en-US" sz="1100" b="0" i="0" u="none" strike="noStrike">
              <a:solidFill>
                <a:srgbClr val="000000"/>
              </a:solidFill>
              <a:effectLst/>
              <a:latin typeface="Calibri"/>
              <a:ea typeface="Calibri"/>
              <a:cs typeface="Calibri"/>
            </a:rPr>
            <a:pPr algn="l"/>
            <a:t> $10,660,088 </a:t>
          </a:fld>
          <a:endParaRPr lang="en-US" sz="1100"/>
        </a:p>
      </xdr:txBody>
    </xdr:sp>
    <xdr:clientData/>
  </xdr:twoCellAnchor>
  <xdr:twoCellAnchor>
    <xdr:from>
      <xdr:col>10</xdr:col>
      <xdr:colOff>137160</xdr:colOff>
      <xdr:row>9</xdr:row>
      <xdr:rowOff>30480</xdr:rowOff>
    </xdr:from>
    <xdr:to>
      <xdr:col>11</xdr:col>
      <xdr:colOff>594360</xdr:colOff>
      <xdr:row>10</xdr:row>
      <xdr:rowOff>175260</xdr:rowOff>
    </xdr:to>
    <xdr:sp macro="" textlink="Pivot!N20">
      <xdr:nvSpPr>
        <xdr:cNvPr id="39" name="Rectangle: Rounded Corners 38">
          <a:extLst>
            <a:ext uri="{FF2B5EF4-FFF2-40B4-BE49-F238E27FC236}">
              <a16:creationId xmlns:a16="http://schemas.microsoft.com/office/drawing/2014/main" id="{E0D53F4D-AFC7-4446-B827-CD23C8BC806A}"/>
            </a:ext>
          </a:extLst>
        </xdr:cNvPr>
        <xdr:cNvSpPr/>
      </xdr:nvSpPr>
      <xdr:spPr>
        <a:xfrm>
          <a:off x="6233160" y="1676400"/>
          <a:ext cx="106680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0FD2B98-BB53-4F25-AC7F-C49A2121A445}" type="TxLink">
            <a:rPr lang="en-US" sz="1100" b="0" i="0" u="none" strike="noStrike">
              <a:solidFill>
                <a:srgbClr val="000000"/>
              </a:solidFill>
              <a:latin typeface="Calibri"/>
              <a:ea typeface="Calibri"/>
              <a:cs typeface="Calibri"/>
            </a:rPr>
            <a:pPr algn="l"/>
            <a:t>10365</a:t>
          </a:fld>
          <a:endParaRPr lang="en-US" sz="1100"/>
        </a:p>
      </xdr:txBody>
    </xdr:sp>
    <xdr:clientData/>
  </xdr:twoCellAnchor>
  <xdr:twoCellAnchor>
    <xdr:from>
      <xdr:col>14</xdr:col>
      <xdr:colOff>137160</xdr:colOff>
      <xdr:row>9</xdr:row>
      <xdr:rowOff>15240</xdr:rowOff>
    </xdr:from>
    <xdr:to>
      <xdr:col>15</xdr:col>
      <xdr:colOff>396240</xdr:colOff>
      <xdr:row>10</xdr:row>
      <xdr:rowOff>160020</xdr:rowOff>
    </xdr:to>
    <xdr:sp macro="" textlink="Pivot!J24">
      <xdr:nvSpPr>
        <xdr:cNvPr id="40" name="Rectangle: Rounded Corners 39">
          <a:extLst>
            <a:ext uri="{FF2B5EF4-FFF2-40B4-BE49-F238E27FC236}">
              <a16:creationId xmlns:a16="http://schemas.microsoft.com/office/drawing/2014/main" id="{DC7BEBDE-369E-49F2-A9DA-0A1CCD2E59F7}"/>
            </a:ext>
          </a:extLst>
        </xdr:cNvPr>
        <xdr:cNvSpPr/>
      </xdr:nvSpPr>
      <xdr:spPr>
        <a:xfrm>
          <a:off x="8671560" y="1661160"/>
          <a:ext cx="86868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FF9017-74D8-45C7-8D5D-A844B57874CB}" type="TxLink">
            <a:rPr lang="en-US" sz="1100" b="0" i="0" u="none" strike="noStrike">
              <a:solidFill>
                <a:srgbClr val="000000"/>
              </a:solidFill>
              <a:latin typeface="Calibri"/>
              <a:ea typeface="Calibri"/>
              <a:cs typeface="Calibri"/>
            </a:rPr>
            <a:pPr algn="l"/>
            <a:t>47.35</a:t>
          </a:fld>
          <a:endParaRPr lang="en-US" sz="1100"/>
        </a:p>
      </xdr:txBody>
    </xdr:sp>
    <xdr:clientData/>
  </xdr:twoCellAnchor>
  <xdr:twoCellAnchor>
    <xdr:from>
      <xdr:col>1</xdr:col>
      <xdr:colOff>579120</xdr:colOff>
      <xdr:row>45</xdr:row>
      <xdr:rowOff>144780</xdr:rowOff>
    </xdr:from>
    <xdr:to>
      <xdr:col>8</xdr:col>
      <xdr:colOff>457200</xdr:colOff>
      <xdr:row>58</xdr:row>
      <xdr:rowOff>137160</xdr:rowOff>
    </xdr:to>
    <xdr:sp macro="" textlink="">
      <xdr:nvSpPr>
        <xdr:cNvPr id="45" name="Rectangle: Rounded Corners 44">
          <a:extLst>
            <a:ext uri="{FF2B5EF4-FFF2-40B4-BE49-F238E27FC236}">
              <a16:creationId xmlns:a16="http://schemas.microsoft.com/office/drawing/2014/main" id="{722F01CF-0E06-45B6-91AE-7D8F8BC8C285}"/>
            </a:ext>
          </a:extLst>
        </xdr:cNvPr>
        <xdr:cNvSpPr/>
      </xdr:nvSpPr>
      <xdr:spPr>
        <a:xfrm>
          <a:off x="1188720" y="8374380"/>
          <a:ext cx="4145280" cy="23698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91440</xdr:colOff>
      <xdr:row>46</xdr:row>
      <xdr:rowOff>99060</xdr:rowOff>
    </xdr:from>
    <xdr:to>
      <xdr:col>8</xdr:col>
      <xdr:colOff>320040</xdr:colOff>
      <xdr:row>57</xdr:row>
      <xdr:rowOff>91440</xdr:rowOff>
    </xdr:to>
    <xdr:graphicFrame macro="">
      <xdr:nvGraphicFramePr>
        <xdr:cNvPr id="46" name="Chart 20">
          <a:extLst>
            <a:ext uri="{FF2B5EF4-FFF2-40B4-BE49-F238E27FC236}">
              <a16:creationId xmlns:a16="http://schemas.microsoft.com/office/drawing/2014/main" id="{D7BFB099-D1EC-4C4F-BEE6-00C037899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30480</xdr:colOff>
      <xdr:row>29</xdr:row>
      <xdr:rowOff>137160</xdr:rowOff>
    </xdr:from>
    <xdr:to>
      <xdr:col>16</xdr:col>
      <xdr:colOff>548640</xdr:colOff>
      <xdr:row>42</xdr:row>
      <xdr:rowOff>121920</xdr:rowOff>
    </xdr:to>
    <xdr:sp macro="" textlink="">
      <xdr:nvSpPr>
        <xdr:cNvPr id="47" name="Rectangle: Rounded Corners 46">
          <a:extLst>
            <a:ext uri="{FF2B5EF4-FFF2-40B4-BE49-F238E27FC236}">
              <a16:creationId xmlns:a16="http://schemas.microsoft.com/office/drawing/2014/main" id="{FC54A166-AC45-40C1-BCB4-5D0DC726643D}"/>
            </a:ext>
          </a:extLst>
        </xdr:cNvPr>
        <xdr:cNvSpPr/>
      </xdr:nvSpPr>
      <xdr:spPr>
        <a:xfrm>
          <a:off x="6126480" y="544068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243840</xdr:colOff>
      <xdr:row>30</xdr:row>
      <xdr:rowOff>91440</xdr:rowOff>
    </xdr:from>
    <xdr:to>
      <xdr:col>16</xdr:col>
      <xdr:colOff>259080</xdr:colOff>
      <xdr:row>41</xdr:row>
      <xdr:rowOff>160020</xdr:rowOff>
    </xdr:to>
    <xdr:graphicFrame macro="">
      <xdr:nvGraphicFramePr>
        <xdr:cNvPr id="48" name="Chart 20">
          <a:extLst>
            <a:ext uri="{FF2B5EF4-FFF2-40B4-BE49-F238E27FC236}">
              <a16:creationId xmlns:a16="http://schemas.microsoft.com/office/drawing/2014/main" id="{52E85218-B447-4AF4-9A66-69BC6176C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60960</xdr:colOff>
      <xdr:row>45</xdr:row>
      <xdr:rowOff>152400</xdr:rowOff>
    </xdr:from>
    <xdr:to>
      <xdr:col>16</xdr:col>
      <xdr:colOff>579120</xdr:colOff>
      <xdr:row>58</xdr:row>
      <xdr:rowOff>137160</xdr:rowOff>
    </xdr:to>
    <xdr:sp macro="" textlink="">
      <xdr:nvSpPr>
        <xdr:cNvPr id="49" name="Rectangle: Rounded Corners 48">
          <a:extLst>
            <a:ext uri="{FF2B5EF4-FFF2-40B4-BE49-F238E27FC236}">
              <a16:creationId xmlns:a16="http://schemas.microsoft.com/office/drawing/2014/main" id="{B626F242-6304-48E1-87DB-766154D7E962}"/>
            </a:ext>
          </a:extLst>
        </xdr:cNvPr>
        <xdr:cNvSpPr/>
      </xdr:nvSpPr>
      <xdr:spPr>
        <a:xfrm>
          <a:off x="6156960" y="83820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236220</xdr:colOff>
      <xdr:row>46</xdr:row>
      <xdr:rowOff>137160</xdr:rowOff>
    </xdr:from>
    <xdr:to>
      <xdr:col>16</xdr:col>
      <xdr:colOff>434340</xdr:colOff>
      <xdr:row>58</xdr:row>
      <xdr:rowOff>22860</xdr:rowOff>
    </xdr:to>
    <xdr:graphicFrame macro="">
      <xdr:nvGraphicFramePr>
        <xdr:cNvPr id="50" name="Chart 26">
          <a:extLst>
            <a:ext uri="{FF2B5EF4-FFF2-40B4-BE49-F238E27FC236}">
              <a16:creationId xmlns:a16="http://schemas.microsoft.com/office/drawing/2014/main" id="{477F61B9-0A90-4B83-92C1-2F7329A2C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396240</xdr:colOff>
      <xdr:row>9</xdr:row>
      <xdr:rowOff>22860</xdr:rowOff>
    </xdr:from>
    <xdr:to>
      <xdr:col>3</xdr:col>
      <xdr:colOff>388620</xdr:colOff>
      <xdr:row>10</xdr:row>
      <xdr:rowOff>175260</xdr:rowOff>
    </xdr:to>
    <xdr:sp macro="" textlink="Pivot!J20">
      <xdr:nvSpPr>
        <xdr:cNvPr id="54" name="Rectangle: Rounded Corners 53">
          <a:extLst>
            <a:ext uri="{FF2B5EF4-FFF2-40B4-BE49-F238E27FC236}">
              <a16:creationId xmlns:a16="http://schemas.microsoft.com/office/drawing/2014/main" id="{AB6A2625-18CF-3EED-7078-816DF0C550C9}"/>
            </a:ext>
          </a:extLst>
        </xdr:cNvPr>
        <xdr:cNvSpPr/>
      </xdr:nvSpPr>
      <xdr:spPr>
        <a:xfrm>
          <a:off x="1005840" y="1668780"/>
          <a:ext cx="1211580" cy="33528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46E7AB6-C803-4E30-B9EC-61075C6A5583}" type="TxLink">
            <a:rPr lang="en-US" sz="1100" b="0" i="0" u="none" strike="noStrike">
              <a:solidFill>
                <a:srgbClr val="000000"/>
              </a:solidFill>
              <a:latin typeface="Calibri"/>
              <a:ea typeface="Calibri"/>
              <a:cs typeface="Calibri"/>
            </a:rPr>
            <a:pPr algn="l"/>
            <a:t>$29,593,844 </a:t>
          </a:fld>
          <a:endParaRPr lang="en-US" sz="1100"/>
        </a:p>
      </xdr:txBody>
    </xdr:sp>
    <xdr:clientData/>
  </xdr:twoCellAnchor>
  <xdr:twoCellAnchor editAs="oneCell">
    <xdr:from>
      <xdr:col>0</xdr:col>
      <xdr:colOff>0</xdr:colOff>
      <xdr:row>25</xdr:row>
      <xdr:rowOff>0</xdr:rowOff>
    </xdr:from>
    <xdr:to>
      <xdr:col>0</xdr:col>
      <xdr:colOff>579120</xdr:colOff>
      <xdr:row>28</xdr:row>
      <xdr:rowOff>30480</xdr:rowOff>
    </xdr:to>
    <xdr:pic>
      <xdr:nvPicPr>
        <xdr:cNvPr id="56" name="Graphic 55" descr="Clipboard with solid fill">
          <a:hlinkClick xmlns:r="http://schemas.openxmlformats.org/officeDocument/2006/relationships" r:id="rId17"/>
          <a:extLst>
            <a:ext uri="{FF2B5EF4-FFF2-40B4-BE49-F238E27FC236}">
              <a16:creationId xmlns:a16="http://schemas.microsoft.com/office/drawing/2014/main" id="{BEDF65A0-221E-81FA-7661-FF42423DD61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0" y="4572000"/>
          <a:ext cx="579120" cy="579120"/>
        </a:xfrm>
        <a:prstGeom prst="rect">
          <a:avLst/>
        </a:prstGeom>
      </xdr:spPr>
    </xdr:pic>
    <xdr:clientData/>
  </xdr:twoCellAnchor>
  <xdr:twoCellAnchor editAs="oneCell">
    <xdr:from>
      <xdr:col>1</xdr:col>
      <xdr:colOff>320040</xdr:colOff>
      <xdr:row>7</xdr:row>
      <xdr:rowOff>91440</xdr:rowOff>
    </xdr:from>
    <xdr:to>
      <xdr:col>1</xdr:col>
      <xdr:colOff>541020</xdr:colOff>
      <xdr:row>8</xdr:row>
      <xdr:rowOff>129540</xdr:rowOff>
    </xdr:to>
    <xdr:pic>
      <xdr:nvPicPr>
        <xdr:cNvPr id="3" name="Graphic 2" descr="Coins with solid fill">
          <a:extLst>
            <a:ext uri="{FF2B5EF4-FFF2-40B4-BE49-F238E27FC236}">
              <a16:creationId xmlns:a16="http://schemas.microsoft.com/office/drawing/2014/main" id="{77A3A6AF-6842-0425-8784-105F041CE69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29640" y="1371600"/>
          <a:ext cx="220980" cy="220980"/>
        </a:xfrm>
        <a:prstGeom prst="rect">
          <a:avLst/>
        </a:prstGeom>
      </xdr:spPr>
    </xdr:pic>
    <xdr:clientData/>
  </xdr:twoCellAnchor>
  <xdr:twoCellAnchor editAs="oneCell">
    <xdr:from>
      <xdr:col>6</xdr:col>
      <xdr:colOff>38100</xdr:colOff>
      <xdr:row>7</xdr:row>
      <xdr:rowOff>76200</xdr:rowOff>
    </xdr:from>
    <xdr:to>
      <xdr:col>6</xdr:col>
      <xdr:colOff>335280</xdr:colOff>
      <xdr:row>8</xdr:row>
      <xdr:rowOff>95402</xdr:rowOff>
    </xdr:to>
    <xdr:pic>
      <xdr:nvPicPr>
        <xdr:cNvPr id="6" name="Graphic 5" descr="Upward trend with solid fill">
          <a:extLst>
            <a:ext uri="{FF2B5EF4-FFF2-40B4-BE49-F238E27FC236}">
              <a16:creationId xmlns:a16="http://schemas.microsoft.com/office/drawing/2014/main" id="{373CA707-3281-4103-3DE2-11D508C5080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695700" y="1356360"/>
          <a:ext cx="297180" cy="202082"/>
        </a:xfrm>
        <a:prstGeom prst="rect">
          <a:avLst/>
        </a:prstGeom>
      </xdr:spPr>
    </xdr:pic>
    <xdr:clientData/>
  </xdr:twoCellAnchor>
  <xdr:twoCellAnchor editAs="oneCell">
    <xdr:from>
      <xdr:col>14</xdr:col>
      <xdr:colOff>60960</xdr:colOff>
      <xdr:row>7</xdr:row>
      <xdr:rowOff>83820</xdr:rowOff>
    </xdr:from>
    <xdr:to>
      <xdr:col>14</xdr:col>
      <xdr:colOff>358140</xdr:colOff>
      <xdr:row>9</xdr:row>
      <xdr:rowOff>15240</xdr:rowOff>
    </xdr:to>
    <xdr:pic>
      <xdr:nvPicPr>
        <xdr:cNvPr id="18" name="Graphic 17" descr="Bar graph with upward trend with solid fill">
          <a:extLst>
            <a:ext uri="{FF2B5EF4-FFF2-40B4-BE49-F238E27FC236}">
              <a16:creationId xmlns:a16="http://schemas.microsoft.com/office/drawing/2014/main" id="{9F9F9C37-33BE-AA72-2620-F1A0CE7154C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8595360" y="1363980"/>
          <a:ext cx="297180" cy="297180"/>
        </a:xfrm>
        <a:prstGeom prst="rect">
          <a:avLst/>
        </a:prstGeom>
      </xdr:spPr>
    </xdr:pic>
    <xdr:clientData/>
  </xdr:twoCellAnchor>
  <xdr:twoCellAnchor editAs="oneCell">
    <xdr:from>
      <xdr:col>10</xdr:col>
      <xdr:colOff>99060</xdr:colOff>
      <xdr:row>7</xdr:row>
      <xdr:rowOff>144780</xdr:rowOff>
    </xdr:from>
    <xdr:to>
      <xdr:col>10</xdr:col>
      <xdr:colOff>335280</xdr:colOff>
      <xdr:row>9</xdr:row>
      <xdr:rowOff>15240</xdr:rowOff>
    </xdr:to>
    <xdr:pic>
      <xdr:nvPicPr>
        <xdr:cNvPr id="20" name="Picture 19">
          <a:extLst>
            <a:ext uri="{FF2B5EF4-FFF2-40B4-BE49-F238E27FC236}">
              <a16:creationId xmlns:a16="http://schemas.microsoft.com/office/drawing/2014/main" id="{B7030FA1-B60C-55BE-4FF9-93863D9DB484}"/>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195060" y="1424940"/>
          <a:ext cx="236220" cy="236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541020</xdr:colOff>
      <xdr:row>18</xdr:row>
      <xdr:rowOff>68580</xdr:rowOff>
    </xdr:from>
    <xdr:to>
      <xdr:col>4</xdr:col>
      <xdr:colOff>541020</xdr:colOff>
      <xdr:row>31</xdr:row>
      <xdr:rowOff>158115</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2794B871-5D0E-4A21-8664-83EEA9AB14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0620" y="3360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556260</xdr:colOff>
      <xdr:row>4</xdr:row>
      <xdr:rowOff>22860</xdr:rowOff>
    </xdr:from>
    <xdr:to>
      <xdr:col>4</xdr:col>
      <xdr:colOff>556260</xdr:colOff>
      <xdr:row>17</xdr:row>
      <xdr:rowOff>112395</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6B2FE5B9-9449-49CB-9C7B-70BC30D9955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65860" y="75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434340</xdr:colOff>
      <xdr:row>3</xdr:row>
      <xdr:rowOff>175260</xdr:rowOff>
    </xdr:from>
    <xdr:to>
      <xdr:col>8</xdr:col>
      <xdr:colOff>434340</xdr:colOff>
      <xdr:row>17</xdr:row>
      <xdr:rowOff>81915</xdr:rowOff>
    </xdr:to>
    <mc:AlternateContent xmlns:mc="http://schemas.openxmlformats.org/markup-compatibility/2006" xmlns:a14="http://schemas.microsoft.com/office/drawing/2010/main">
      <mc:Choice Requires="a14">
        <xdr:graphicFrame macro="">
          <xdr:nvGraphicFramePr>
            <xdr:cNvPr id="20" name="Date 1">
              <a:extLst>
                <a:ext uri="{FF2B5EF4-FFF2-40B4-BE49-F238E27FC236}">
                  <a16:creationId xmlns:a16="http://schemas.microsoft.com/office/drawing/2014/main" id="{9A04135B-46B1-49FF-B28C-26A2F882328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482340" y="723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396240</xdr:colOff>
      <xdr:row>18</xdr:row>
      <xdr:rowOff>129540</xdr:rowOff>
    </xdr:from>
    <xdr:to>
      <xdr:col>8</xdr:col>
      <xdr:colOff>396240</xdr:colOff>
      <xdr:row>32</xdr:row>
      <xdr:rowOff>36195</xdr:rowOff>
    </xdr:to>
    <mc:AlternateContent xmlns:mc="http://schemas.openxmlformats.org/markup-compatibility/2006" xmlns:a14="http://schemas.microsoft.com/office/drawing/2010/main">
      <mc:Choice Requires="a14">
        <xdr:graphicFrame macro="">
          <xdr:nvGraphicFramePr>
            <xdr:cNvPr id="22" name="Sales Rep 1">
              <a:extLst>
                <a:ext uri="{FF2B5EF4-FFF2-40B4-BE49-F238E27FC236}">
                  <a16:creationId xmlns:a16="http://schemas.microsoft.com/office/drawing/2014/main" id="{8983A606-90F4-4C28-B2AB-9FE5A04B3C8D}"/>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3444240" y="3421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60960</xdr:rowOff>
    </xdr:from>
    <xdr:to>
      <xdr:col>0</xdr:col>
      <xdr:colOff>571500</xdr:colOff>
      <xdr:row>4</xdr:row>
      <xdr:rowOff>53340</xdr:rowOff>
    </xdr:to>
    <xdr:pic>
      <xdr:nvPicPr>
        <xdr:cNvPr id="23" name="Picture 22" descr="Company Logo Vector Art, Icons, and Graphics for Free Download">
          <a:extLst>
            <a:ext uri="{FF2B5EF4-FFF2-40B4-BE49-F238E27FC236}">
              <a16:creationId xmlns:a16="http://schemas.microsoft.com/office/drawing/2014/main" id="{86E18AA8-2D8C-45E4-B995-BAC4CBA66E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24" name="Graphic 23" descr="Document with solid fill">
          <a:hlinkClick xmlns:r="http://schemas.openxmlformats.org/officeDocument/2006/relationships" r:id="rId2"/>
          <a:extLst>
            <a:ext uri="{FF2B5EF4-FFF2-40B4-BE49-F238E27FC236}">
              <a16:creationId xmlns:a16="http://schemas.microsoft.com/office/drawing/2014/main" id="{58BE05D5-7854-4C32-A470-A917F63C66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25" name="Graphic 24" descr="Newspaper with solid fill">
          <a:hlinkClick xmlns:r="http://schemas.openxmlformats.org/officeDocument/2006/relationships" r:id="rId5"/>
          <a:extLst>
            <a:ext uri="{FF2B5EF4-FFF2-40B4-BE49-F238E27FC236}">
              <a16:creationId xmlns:a16="http://schemas.microsoft.com/office/drawing/2014/main" id="{354E020B-7ECD-44E5-A494-CBA4B113554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26" name="Graphic 25" descr="Gauge with solid fill">
          <a:hlinkClick xmlns:r="http://schemas.openxmlformats.org/officeDocument/2006/relationships" r:id="rId8"/>
          <a:extLst>
            <a:ext uri="{FF2B5EF4-FFF2-40B4-BE49-F238E27FC236}">
              <a16:creationId xmlns:a16="http://schemas.microsoft.com/office/drawing/2014/main" id="{217C801E-2A7B-4619-A6C2-55066C10416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editAs="oneCell">
    <xdr:from>
      <xdr:col>0</xdr:col>
      <xdr:colOff>0</xdr:colOff>
      <xdr:row>24</xdr:row>
      <xdr:rowOff>129540</xdr:rowOff>
    </xdr:from>
    <xdr:to>
      <xdr:col>1</xdr:col>
      <xdr:colOff>22860</xdr:colOff>
      <xdr:row>28</xdr:row>
      <xdr:rowOff>30480</xdr:rowOff>
    </xdr:to>
    <xdr:pic>
      <xdr:nvPicPr>
        <xdr:cNvPr id="28" name="Graphic 27" descr="Clipboard with solid fill">
          <a:hlinkClick xmlns:r="http://schemas.openxmlformats.org/officeDocument/2006/relationships" r:id="rId11"/>
          <a:extLst>
            <a:ext uri="{FF2B5EF4-FFF2-40B4-BE49-F238E27FC236}">
              <a16:creationId xmlns:a16="http://schemas.microsoft.com/office/drawing/2014/main" id="{FD126FCF-8417-AA03-E1F4-A16B59EBF5A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18660"/>
          <a:ext cx="632460" cy="632460"/>
        </a:xfrm>
        <a:prstGeom prst="rect">
          <a:avLst/>
        </a:prstGeom>
      </xdr:spPr>
    </xdr:pic>
    <xdr:clientData/>
  </xdr:twoCellAnchor>
  <xdr:twoCellAnchor>
    <xdr:from>
      <xdr:col>2</xdr:col>
      <xdr:colOff>29085</xdr:colOff>
      <xdr:row>1</xdr:row>
      <xdr:rowOff>15240</xdr:rowOff>
    </xdr:from>
    <xdr:to>
      <xdr:col>4</xdr:col>
      <xdr:colOff>54736</xdr:colOff>
      <xdr:row>3</xdr:row>
      <xdr:rowOff>121920</xdr:rowOff>
    </xdr:to>
    <xdr:sp macro="" textlink="">
      <xdr:nvSpPr>
        <xdr:cNvPr id="29" name="Rectangle: Rounded Corners 28">
          <a:extLst>
            <a:ext uri="{FF2B5EF4-FFF2-40B4-BE49-F238E27FC236}">
              <a16:creationId xmlns:a16="http://schemas.microsoft.com/office/drawing/2014/main" id="{1361D430-9CAB-A978-E74B-A589A33D5538}"/>
            </a:ext>
          </a:extLst>
        </xdr:cNvPr>
        <xdr:cNvSpPr/>
      </xdr:nvSpPr>
      <xdr:spPr>
        <a:xfrm>
          <a:off x="1248285" y="198120"/>
          <a:ext cx="1244851" cy="47244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2"/>
              </a:solidFill>
            </a:rPr>
            <a:t>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3.742108680555" createdVersion="8" refreshedVersion="8" minRefreshableVersion="3" recordCount="200" xr:uid="{49330035-9538-48B5-8DCD-DB136C35D645}">
  <cacheSource type="worksheet">
    <worksheetSource ref="C1:L201" sheet="sales_dataset"/>
  </cacheSource>
  <cacheFields count="12">
    <cacheField name="Date" numFmtId="14">
      <sharedItems containsSemiMixedTypes="0" containsNonDate="0" containsDate="1" containsString="0" minDate="2025-01-01T00:00:00" maxDate="2025-07-20T00:00:00" count="120">
        <d v="2025-04-13T00:00:00"/>
        <d v="2025-06-29T00:00:00"/>
        <d v="2025-04-03T00:00:00"/>
        <d v="2025-01-15T00:00:00"/>
        <d v="2025-04-17T00:00:00"/>
        <d v="2025-03-13T00:00:00"/>
        <d v="2025-07-08T00:00:00"/>
        <d v="2025-01-21T00:00:00"/>
        <d v="2025-05-02T00:00:00"/>
        <d v="2025-03-16T00:00:00"/>
        <d v="2025-03-29T00:00:00"/>
        <d v="2025-04-27T00:00:00"/>
        <d v="2025-04-10T00:00:00"/>
        <d v="2025-04-14T00:00:00"/>
        <d v="2025-06-01T00:00:00"/>
        <d v="2025-05-11T00:00:00"/>
        <d v="2025-05-30T00:00:00"/>
        <d v="2025-02-22T00:00:00"/>
        <d v="2025-01-02T00:00:00"/>
        <d v="2025-06-07T00:00:00"/>
        <d v="2025-02-07T00:00:00"/>
        <d v="2025-05-10T00:00:00"/>
        <d v="2025-07-11T00:00:00"/>
        <d v="2025-07-07T00:00:00"/>
        <d v="2025-06-10T00:00:00"/>
        <d v="2025-02-27T00:00:00"/>
        <d v="2025-01-22T00:00:00"/>
        <d v="2025-03-30T00:00:00"/>
        <d v="2025-02-18T00:00:00"/>
        <d v="2025-02-28T00:00:00"/>
        <d v="2025-06-19T00:00:00"/>
        <d v="2025-07-09T00:00:00"/>
        <d v="2025-06-24T00:00:00"/>
        <d v="2025-02-20T00:00:00"/>
        <d v="2025-04-18T00:00:00"/>
        <d v="2025-02-24T00:00:00"/>
        <d v="2025-03-05T00:00:00"/>
        <d v="2025-05-15T00:00:00"/>
        <d v="2025-03-14T00:00:00"/>
        <d v="2025-06-16T00:00:00"/>
        <d v="2025-01-18T00:00:00"/>
        <d v="2025-05-12T00:00:00"/>
        <d v="2025-03-01T00:00:00"/>
        <d v="2025-01-14T00:00:00"/>
        <d v="2025-01-09T00:00:00"/>
        <d v="2025-03-31T00:00:00"/>
        <d v="2025-03-25T00:00:00"/>
        <d v="2025-04-02T00:00:00"/>
        <d v="2025-04-21T00:00:00"/>
        <d v="2025-07-18T00:00:00"/>
        <d v="2025-06-21T00:00:00"/>
        <d v="2025-01-08T00:00:00"/>
        <d v="2025-02-04T00:00:00"/>
        <d v="2025-03-22T00:00:00"/>
        <d v="2025-06-13T00:00:00"/>
        <d v="2025-02-19T00:00:00"/>
        <d v="2025-05-14T00:00:00"/>
        <d v="2025-02-23T00:00:00"/>
        <d v="2025-04-16T00:00:00"/>
        <d v="2025-01-04T00:00:00"/>
        <d v="2025-07-10T00:00:00"/>
        <d v="2025-05-26T00:00:00"/>
        <d v="2025-02-13T00:00:00"/>
        <d v="2025-06-11T00:00:00"/>
        <d v="2025-04-05T00:00:00"/>
        <d v="2025-02-17T00:00:00"/>
        <d v="2025-07-19T00:00:00"/>
        <d v="2025-02-09T00:00:00"/>
        <d v="2025-03-23T00:00:00"/>
        <d v="2025-01-24T00:00:00"/>
        <d v="2025-06-03T00:00:00"/>
        <d v="2025-05-04T00:00:00"/>
        <d v="2025-02-10T00:00:00"/>
        <d v="2025-06-06T00:00:00"/>
        <d v="2025-02-14T00:00:00"/>
        <d v="2025-03-06T00:00:00"/>
        <d v="2025-03-12T00:00:00"/>
        <d v="2025-05-09T00:00:00"/>
        <d v="2025-05-16T00:00:00"/>
        <d v="2025-03-04T00:00:00"/>
        <d v="2025-05-19T00:00:00"/>
        <d v="2025-06-12T00:00:00"/>
        <d v="2025-02-02T00:00:00"/>
        <d v="2025-05-03T00:00:00"/>
        <d v="2025-01-05T00:00:00"/>
        <d v="2025-01-28T00:00:00"/>
        <d v="2025-01-12T00:00:00"/>
        <d v="2025-05-31T00:00:00"/>
        <d v="2025-03-03T00:00:00"/>
        <d v="2025-02-06T00:00:00"/>
        <d v="2025-04-09T00:00:00"/>
        <d v="2025-07-12T00:00:00"/>
        <d v="2025-04-11T00:00:00"/>
        <d v="2025-01-01T00:00:00"/>
        <d v="2025-05-22T00:00:00"/>
        <d v="2025-01-27T00:00:00"/>
        <d v="2025-05-17T00:00:00"/>
        <d v="2025-02-11T00:00:00"/>
        <d v="2025-06-28T00:00:00"/>
        <d v="2025-04-06T00:00:00"/>
        <d v="2025-02-21T00:00:00"/>
        <d v="2025-05-23T00:00:00"/>
        <d v="2025-06-20T00:00:00"/>
        <d v="2025-01-29T00:00:00"/>
        <d v="2025-02-05T00:00:00"/>
        <d v="2025-01-13T00:00:00"/>
        <d v="2025-06-09T00:00:00"/>
        <d v="2025-07-06T00:00:00"/>
        <d v="2025-03-27T00:00:00"/>
        <d v="2025-03-07T00:00:00"/>
        <d v="2025-07-04T00:00:00"/>
        <d v="2025-01-30T00:00:00"/>
        <d v="2025-05-08T00:00:00"/>
        <d v="2025-05-01T00:00:00"/>
        <d v="2025-04-26T00:00:00"/>
        <d v="2025-01-03T00:00:00"/>
        <d v="2025-07-17T00:00:00"/>
        <d v="2025-06-04T00:00:00"/>
        <d v="2025-06-14T00:00:00"/>
        <d v="2025-04-28T00:00:00"/>
      </sharedItems>
      <fieldGroup par="11"/>
    </cacheField>
    <cacheField name="Region" numFmtId="0">
      <sharedItems count="4">
        <s v="Negombo"/>
        <s v="Colombo"/>
        <s v="Kandy"/>
        <s v="Galle"/>
      </sharedItems>
    </cacheField>
    <cacheField name="Product" numFmtId="0">
      <sharedItems count="3">
        <s v="Product C"/>
        <s v="Product A"/>
        <s v="Product B"/>
      </sharedItems>
    </cacheField>
    <cacheField name="Sales Rep" numFmtId="0">
      <sharedItems count="4">
        <s v="Rep 3"/>
        <s v="Rep 1"/>
        <s v="Rep 2"/>
        <s v="Rep 4"/>
      </sharedItems>
    </cacheField>
    <cacheField name="Units Sold" numFmtId="0">
      <sharedItems containsSemiMixedTypes="0" containsString="0" containsNumber="1" containsInteger="1" minValue="5" maxValue="99"/>
    </cacheField>
    <cacheField name="Price" numFmtId="0">
      <sharedItems containsSemiMixedTypes="0" containsString="0" containsNumber="1" containsInteger="1" minValue="1003" maxValue="4994"/>
    </cacheField>
    <cacheField name="Cost" numFmtId="0">
      <sharedItems containsSemiMixedTypes="0" containsString="0" containsNumber="1" containsInteger="1" minValue="510" maxValue="2982"/>
    </cacheField>
    <cacheField name="Revenue =Units Sold * Price" numFmtId="0">
      <sharedItems containsSemiMixedTypes="0" containsString="0" containsNumber="1" containsInteger="1" minValue="7742" maxValue="480298"/>
    </cacheField>
    <cacheField name="Profit= Revenue - (Units Sold * Cost)" numFmtId="0">
      <sharedItems containsSemiMixedTypes="0" containsString="0" containsNumber="1" containsInteger="1" minValue="-157344" maxValue="411862"/>
    </cacheField>
    <cacheField name="Profit Margin " numFmtId="9">
      <sharedItems containsSemiMixedTypes="0" containsString="0" containsNumber="1" minValue="-1.8" maxValue="0.86"/>
    </cacheField>
    <cacheField name="Days (Date)" numFmtId="0" databaseField="0">
      <fieldGroup base="0">
        <rangePr groupBy="days" startDate="2025-01-01T00:00:00" endDate="2025-07-2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0/2025"/>
        </groupItems>
      </fieldGroup>
    </cacheField>
    <cacheField name="Months (Date)" numFmtId="0" databaseField="0">
      <fieldGroup base="0">
        <rangePr groupBy="months" startDate="2025-01-01T00:00:00" endDate="2025-07-20T00:00:00"/>
        <groupItems count="14">
          <s v="&lt;1/1/2025"/>
          <s v="Jan"/>
          <s v="Feb"/>
          <s v="Mar"/>
          <s v="Apr"/>
          <s v="May"/>
          <s v="Jun"/>
          <s v="Jul"/>
          <s v="Aug"/>
          <s v="Sep"/>
          <s v="Oct"/>
          <s v="Nov"/>
          <s v="Dec"/>
          <s v="&gt;7/20/2025"/>
        </groupItems>
      </fieldGroup>
    </cacheField>
  </cacheFields>
  <extLst>
    <ext xmlns:x14="http://schemas.microsoft.com/office/spreadsheetml/2009/9/main" uri="{725AE2AE-9491-48be-B2B4-4EB974FC3084}">
      <x14:pivotCacheDefinition pivotCacheId="1780726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84"/>
    <n v="3593"/>
    <n v="2136"/>
    <n v="301812"/>
    <n v="122388"/>
    <n v="0.41"/>
  </r>
  <r>
    <x v="1"/>
    <x v="0"/>
    <x v="0"/>
    <x v="1"/>
    <n v="89"/>
    <n v="2968"/>
    <n v="2876"/>
    <n v="264152"/>
    <n v="8188"/>
    <n v="0.03"/>
  </r>
  <r>
    <x v="2"/>
    <x v="0"/>
    <x v="1"/>
    <x v="2"/>
    <n v="79"/>
    <n v="2101"/>
    <n v="2494"/>
    <n v="165979"/>
    <n v="-31047"/>
    <n v="-0.19"/>
  </r>
  <r>
    <x v="3"/>
    <x v="1"/>
    <x v="1"/>
    <x v="3"/>
    <n v="40"/>
    <n v="2753"/>
    <n v="2443"/>
    <n v="110120"/>
    <n v="12400"/>
    <n v="0.11"/>
  </r>
  <r>
    <x v="4"/>
    <x v="0"/>
    <x v="2"/>
    <x v="1"/>
    <n v="23"/>
    <n v="2836"/>
    <n v="2538"/>
    <n v="65228"/>
    <n v="6854"/>
    <n v="0.11"/>
  </r>
  <r>
    <x v="5"/>
    <x v="1"/>
    <x v="1"/>
    <x v="2"/>
    <n v="24"/>
    <n v="4994"/>
    <n v="1618"/>
    <n v="119856"/>
    <n v="81024"/>
    <n v="0.68"/>
  </r>
  <r>
    <x v="6"/>
    <x v="2"/>
    <x v="2"/>
    <x v="2"/>
    <n v="61"/>
    <n v="4144"/>
    <n v="2104"/>
    <n v="252784"/>
    <n v="124440"/>
    <n v="0.49"/>
  </r>
  <r>
    <x v="7"/>
    <x v="1"/>
    <x v="1"/>
    <x v="2"/>
    <n v="22"/>
    <n v="3841"/>
    <n v="2865"/>
    <n v="84502"/>
    <n v="21472"/>
    <n v="0.25"/>
  </r>
  <r>
    <x v="0"/>
    <x v="2"/>
    <x v="2"/>
    <x v="2"/>
    <n v="51"/>
    <n v="3296"/>
    <n v="735"/>
    <n v="168096"/>
    <n v="130611"/>
    <n v="0.78"/>
  </r>
  <r>
    <x v="8"/>
    <x v="0"/>
    <x v="0"/>
    <x v="2"/>
    <n v="53"/>
    <n v="3094"/>
    <n v="2469"/>
    <n v="163982"/>
    <n v="33125"/>
    <n v="0.2"/>
  </r>
  <r>
    <x v="9"/>
    <x v="0"/>
    <x v="1"/>
    <x v="0"/>
    <n v="18"/>
    <n v="2144"/>
    <n v="833"/>
    <n v="38592"/>
    <n v="23598"/>
    <n v="0.61"/>
  </r>
  <r>
    <x v="10"/>
    <x v="2"/>
    <x v="1"/>
    <x v="1"/>
    <n v="19"/>
    <n v="3261"/>
    <n v="2408"/>
    <n v="61959"/>
    <n v="16207"/>
    <n v="0.26"/>
  </r>
  <r>
    <x v="11"/>
    <x v="3"/>
    <x v="1"/>
    <x v="0"/>
    <n v="35"/>
    <n v="3286"/>
    <n v="875"/>
    <n v="115010"/>
    <n v="84385"/>
    <n v="0.73"/>
  </r>
  <r>
    <x v="12"/>
    <x v="2"/>
    <x v="1"/>
    <x v="3"/>
    <n v="5"/>
    <n v="2079"/>
    <n v="1660"/>
    <n v="10395"/>
    <n v="2095"/>
    <n v="0.2"/>
  </r>
  <r>
    <x v="13"/>
    <x v="3"/>
    <x v="2"/>
    <x v="2"/>
    <n v="58"/>
    <n v="3397"/>
    <n v="2070"/>
    <n v="197026"/>
    <n v="76966"/>
    <n v="0.39"/>
  </r>
  <r>
    <x v="14"/>
    <x v="1"/>
    <x v="1"/>
    <x v="1"/>
    <n v="7"/>
    <n v="1106"/>
    <n v="1819"/>
    <n v="7742"/>
    <n v="-4991"/>
    <n v="-0.64"/>
  </r>
  <r>
    <x v="15"/>
    <x v="1"/>
    <x v="0"/>
    <x v="2"/>
    <n v="20"/>
    <n v="3878"/>
    <n v="2355"/>
    <n v="77560"/>
    <n v="30460"/>
    <n v="0.39"/>
  </r>
  <r>
    <x v="16"/>
    <x v="1"/>
    <x v="0"/>
    <x v="1"/>
    <n v="91"/>
    <n v="1047"/>
    <n v="1872"/>
    <n v="95277"/>
    <n v="-75075"/>
    <n v="-0.79"/>
  </r>
  <r>
    <x v="17"/>
    <x v="0"/>
    <x v="1"/>
    <x v="0"/>
    <n v="61"/>
    <n v="4644"/>
    <n v="1372"/>
    <n v="283284"/>
    <n v="199592"/>
    <n v="0.7"/>
  </r>
  <r>
    <x v="18"/>
    <x v="1"/>
    <x v="0"/>
    <x v="1"/>
    <n v="79"/>
    <n v="1336"/>
    <n v="1752"/>
    <n v="105544"/>
    <n v="-32864"/>
    <n v="-0.31"/>
  </r>
  <r>
    <x v="10"/>
    <x v="3"/>
    <x v="1"/>
    <x v="3"/>
    <n v="16"/>
    <n v="2049"/>
    <n v="2817"/>
    <n v="32784"/>
    <n v="-12288"/>
    <n v="-0.37"/>
  </r>
  <r>
    <x v="19"/>
    <x v="1"/>
    <x v="1"/>
    <x v="3"/>
    <n v="78"/>
    <n v="3851"/>
    <n v="2351"/>
    <n v="300378"/>
    <n v="117000"/>
    <n v="0.39"/>
  </r>
  <r>
    <x v="20"/>
    <x v="2"/>
    <x v="0"/>
    <x v="1"/>
    <n v="20"/>
    <n v="2280"/>
    <n v="1814"/>
    <n v="45600"/>
    <n v="9320"/>
    <n v="0.2"/>
  </r>
  <r>
    <x v="21"/>
    <x v="2"/>
    <x v="1"/>
    <x v="1"/>
    <n v="76"/>
    <n v="3055"/>
    <n v="1224"/>
    <n v="232180"/>
    <n v="139156"/>
    <n v="0.6"/>
  </r>
  <r>
    <x v="22"/>
    <x v="0"/>
    <x v="0"/>
    <x v="1"/>
    <n v="80"/>
    <n v="1624"/>
    <n v="2552"/>
    <n v="129920"/>
    <n v="-74240"/>
    <n v="-0.56999999999999995"/>
  </r>
  <r>
    <x v="23"/>
    <x v="2"/>
    <x v="2"/>
    <x v="1"/>
    <n v="28"/>
    <n v="2890"/>
    <n v="577"/>
    <n v="80920"/>
    <n v="64764"/>
    <n v="0.8"/>
  </r>
  <r>
    <x v="7"/>
    <x v="3"/>
    <x v="1"/>
    <x v="3"/>
    <n v="32"/>
    <n v="2276"/>
    <n v="631"/>
    <n v="72832"/>
    <n v="52640"/>
    <n v="0.72"/>
  </r>
  <r>
    <x v="24"/>
    <x v="1"/>
    <x v="2"/>
    <x v="2"/>
    <n v="12"/>
    <n v="2715"/>
    <n v="1100"/>
    <n v="32580"/>
    <n v="19380"/>
    <n v="0.59"/>
  </r>
  <r>
    <x v="25"/>
    <x v="0"/>
    <x v="0"/>
    <x v="1"/>
    <n v="96"/>
    <n v="3766"/>
    <n v="2272"/>
    <n v="361536"/>
    <n v="143424"/>
    <n v="0.4"/>
  </r>
  <r>
    <x v="26"/>
    <x v="1"/>
    <x v="2"/>
    <x v="1"/>
    <n v="40"/>
    <n v="1302"/>
    <n v="1565"/>
    <n v="52080"/>
    <n v="-10520"/>
    <n v="-0.2"/>
  </r>
  <r>
    <x v="27"/>
    <x v="1"/>
    <x v="2"/>
    <x v="3"/>
    <n v="94"/>
    <n v="1638"/>
    <n v="2636"/>
    <n v="153972"/>
    <n v="-93812"/>
    <n v="-0.61"/>
  </r>
  <r>
    <x v="28"/>
    <x v="3"/>
    <x v="0"/>
    <x v="3"/>
    <n v="12"/>
    <n v="1055"/>
    <n v="2949"/>
    <n v="12660"/>
    <n v="-22728"/>
    <n v="-1.8"/>
  </r>
  <r>
    <x v="29"/>
    <x v="2"/>
    <x v="2"/>
    <x v="0"/>
    <n v="62"/>
    <n v="1725"/>
    <n v="2843"/>
    <n v="106950"/>
    <n v="-69316"/>
    <n v="-0.65"/>
  </r>
  <r>
    <x v="30"/>
    <x v="2"/>
    <x v="2"/>
    <x v="1"/>
    <n v="64"/>
    <n v="1525"/>
    <n v="2363"/>
    <n v="97600"/>
    <n v="-53632"/>
    <n v="-0.55000000000000004"/>
  </r>
  <r>
    <x v="23"/>
    <x v="1"/>
    <x v="0"/>
    <x v="0"/>
    <n v="54"/>
    <n v="1473"/>
    <n v="1818"/>
    <n v="79542"/>
    <n v="-18630"/>
    <n v="-0.23"/>
  </r>
  <r>
    <x v="3"/>
    <x v="0"/>
    <x v="2"/>
    <x v="3"/>
    <n v="32"/>
    <n v="1027"/>
    <n v="1115"/>
    <n v="32864"/>
    <n v="-2816"/>
    <n v="-0.09"/>
  </r>
  <r>
    <x v="31"/>
    <x v="2"/>
    <x v="0"/>
    <x v="3"/>
    <n v="96"/>
    <n v="3125"/>
    <n v="2969"/>
    <n v="300000"/>
    <n v="14976"/>
    <n v="0.05"/>
  </r>
  <r>
    <x v="31"/>
    <x v="0"/>
    <x v="2"/>
    <x v="2"/>
    <n v="45"/>
    <n v="4287"/>
    <n v="2388"/>
    <n v="192915"/>
    <n v="85455"/>
    <n v="0.44"/>
  </r>
  <r>
    <x v="32"/>
    <x v="2"/>
    <x v="0"/>
    <x v="1"/>
    <n v="68"/>
    <n v="4457"/>
    <n v="1546"/>
    <n v="303076"/>
    <n v="197948"/>
    <n v="0.65"/>
  </r>
  <r>
    <x v="31"/>
    <x v="0"/>
    <x v="0"/>
    <x v="0"/>
    <n v="31"/>
    <n v="1364"/>
    <n v="1074"/>
    <n v="42284"/>
    <n v="8990"/>
    <n v="0.21"/>
  </r>
  <r>
    <x v="33"/>
    <x v="3"/>
    <x v="2"/>
    <x v="3"/>
    <n v="67"/>
    <n v="3713"/>
    <n v="2690"/>
    <n v="248771"/>
    <n v="68541"/>
    <n v="0.28000000000000003"/>
  </r>
  <r>
    <x v="34"/>
    <x v="0"/>
    <x v="2"/>
    <x v="3"/>
    <n v="21"/>
    <n v="1525"/>
    <n v="1492"/>
    <n v="32025"/>
    <n v="693"/>
    <n v="0.02"/>
  </r>
  <r>
    <x v="35"/>
    <x v="3"/>
    <x v="2"/>
    <x v="0"/>
    <n v="77"/>
    <n v="3746"/>
    <n v="2692"/>
    <n v="288442"/>
    <n v="81158"/>
    <n v="0.28000000000000003"/>
  </r>
  <r>
    <x v="36"/>
    <x v="3"/>
    <x v="1"/>
    <x v="2"/>
    <n v="37"/>
    <n v="2335"/>
    <n v="1748"/>
    <n v="86395"/>
    <n v="21719"/>
    <n v="0.25"/>
  </r>
  <r>
    <x v="15"/>
    <x v="0"/>
    <x v="1"/>
    <x v="3"/>
    <n v="88"/>
    <n v="1882"/>
    <n v="1002"/>
    <n v="165616"/>
    <n v="77440"/>
    <n v="0.47"/>
  </r>
  <r>
    <x v="33"/>
    <x v="3"/>
    <x v="1"/>
    <x v="1"/>
    <n v="81"/>
    <n v="2030"/>
    <n v="2497"/>
    <n v="164430"/>
    <n v="-37827"/>
    <n v="-0.23"/>
  </r>
  <r>
    <x v="37"/>
    <x v="1"/>
    <x v="0"/>
    <x v="3"/>
    <n v="96"/>
    <n v="2026"/>
    <n v="1320"/>
    <n v="194496"/>
    <n v="67776"/>
    <n v="0.35"/>
  </r>
  <r>
    <x v="7"/>
    <x v="3"/>
    <x v="2"/>
    <x v="1"/>
    <n v="33"/>
    <n v="2646"/>
    <n v="2651"/>
    <n v="87318"/>
    <n v="-165"/>
    <n v="0"/>
  </r>
  <r>
    <x v="38"/>
    <x v="2"/>
    <x v="0"/>
    <x v="0"/>
    <n v="17"/>
    <n v="1918"/>
    <n v="2470"/>
    <n v="32606"/>
    <n v="-9384"/>
    <n v="-0.28999999999999998"/>
  </r>
  <r>
    <x v="39"/>
    <x v="0"/>
    <x v="1"/>
    <x v="1"/>
    <n v="50"/>
    <n v="3797"/>
    <n v="697"/>
    <n v="189850"/>
    <n v="155000"/>
    <n v="0.82"/>
  </r>
  <r>
    <x v="40"/>
    <x v="1"/>
    <x v="2"/>
    <x v="0"/>
    <n v="39"/>
    <n v="3410"/>
    <n v="2169"/>
    <n v="132990"/>
    <n v="48399"/>
    <n v="0.36"/>
  </r>
  <r>
    <x v="41"/>
    <x v="0"/>
    <x v="0"/>
    <x v="1"/>
    <n v="10"/>
    <n v="2774"/>
    <n v="2938"/>
    <n v="27740"/>
    <n v="-1640"/>
    <n v="-0.06"/>
  </r>
  <r>
    <x v="27"/>
    <x v="2"/>
    <x v="2"/>
    <x v="0"/>
    <n v="86"/>
    <n v="2531"/>
    <n v="1702"/>
    <n v="217666"/>
    <n v="71294"/>
    <n v="0.33"/>
  </r>
  <r>
    <x v="42"/>
    <x v="2"/>
    <x v="0"/>
    <x v="1"/>
    <n v="73"/>
    <n v="4345"/>
    <n v="1971"/>
    <n v="317185"/>
    <n v="173302"/>
    <n v="0.55000000000000004"/>
  </r>
  <r>
    <x v="43"/>
    <x v="2"/>
    <x v="2"/>
    <x v="2"/>
    <n v="51"/>
    <n v="4577"/>
    <n v="2146"/>
    <n v="233427"/>
    <n v="123981"/>
    <n v="0.53"/>
  </r>
  <r>
    <x v="44"/>
    <x v="3"/>
    <x v="1"/>
    <x v="1"/>
    <n v="29"/>
    <n v="3853"/>
    <n v="2192"/>
    <n v="111737"/>
    <n v="48169"/>
    <n v="0.43"/>
  </r>
  <r>
    <x v="45"/>
    <x v="3"/>
    <x v="1"/>
    <x v="1"/>
    <n v="70"/>
    <n v="3786"/>
    <n v="1812"/>
    <n v="265020"/>
    <n v="138180"/>
    <n v="0.52"/>
  </r>
  <r>
    <x v="17"/>
    <x v="0"/>
    <x v="2"/>
    <x v="2"/>
    <n v="14"/>
    <n v="2906"/>
    <n v="2535"/>
    <n v="40684"/>
    <n v="5194"/>
    <n v="0.13"/>
  </r>
  <r>
    <x v="21"/>
    <x v="0"/>
    <x v="0"/>
    <x v="3"/>
    <n v="60"/>
    <n v="4086"/>
    <n v="977"/>
    <n v="245160"/>
    <n v="186540"/>
    <n v="0.76"/>
  </r>
  <r>
    <x v="46"/>
    <x v="1"/>
    <x v="1"/>
    <x v="3"/>
    <n v="34"/>
    <n v="2215"/>
    <n v="1754"/>
    <n v="75310"/>
    <n v="15674"/>
    <n v="0.21"/>
  </r>
  <r>
    <x v="47"/>
    <x v="1"/>
    <x v="1"/>
    <x v="1"/>
    <n v="9"/>
    <n v="2654"/>
    <n v="1422"/>
    <n v="23886"/>
    <n v="11088"/>
    <n v="0.46"/>
  </r>
  <r>
    <x v="48"/>
    <x v="0"/>
    <x v="1"/>
    <x v="2"/>
    <n v="37"/>
    <n v="1484"/>
    <n v="919"/>
    <n v="54908"/>
    <n v="20905"/>
    <n v="0.38"/>
  </r>
  <r>
    <x v="23"/>
    <x v="3"/>
    <x v="2"/>
    <x v="1"/>
    <n v="69"/>
    <n v="3075"/>
    <n v="2704"/>
    <n v="212175"/>
    <n v="25599"/>
    <n v="0.12"/>
  </r>
  <r>
    <x v="49"/>
    <x v="2"/>
    <x v="2"/>
    <x v="0"/>
    <n v="22"/>
    <n v="1713"/>
    <n v="1620"/>
    <n v="37686"/>
    <n v="2046"/>
    <n v="0.05"/>
  </r>
  <r>
    <x v="50"/>
    <x v="0"/>
    <x v="0"/>
    <x v="0"/>
    <n v="53"/>
    <n v="2062"/>
    <n v="1450"/>
    <n v="109286"/>
    <n v="32436"/>
    <n v="0.3"/>
  </r>
  <r>
    <x v="51"/>
    <x v="1"/>
    <x v="0"/>
    <x v="1"/>
    <n v="15"/>
    <n v="2976"/>
    <n v="2836"/>
    <n v="44640"/>
    <n v="2100"/>
    <n v="0.05"/>
  </r>
  <r>
    <x v="32"/>
    <x v="3"/>
    <x v="0"/>
    <x v="3"/>
    <n v="89"/>
    <n v="2296"/>
    <n v="1777"/>
    <n v="204344"/>
    <n v="46191"/>
    <n v="0.23"/>
  </r>
  <r>
    <x v="52"/>
    <x v="0"/>
    <x v="2"/>
    <x v="3"/>
    <n v="30"/>
    <n v="2254"/>
    <n v="2743"/>
    <n v="67620"/>
    <n v="-14670"/>
    <n v="-0.22"/>
  </r>
  <r>
    <x v="53"/>
    <x v="0"/>
    <x v="2"/>
    <x v="1"/>
    <n v="67"/>
    <n v="3133"/>
    <n v="2357"/>
    <n v="209911"/>
    <n v="51992"/>
    <n v="0.25"/>
  </r>
  <r>
    <x v="54"/>
    <x v="3"/>
    <x v="0"/>
    <x v="1"/>
    <n v="93"/>
    <n v="4545"/>
    <n v="1016"/>
    <n v="422685"/>
    <n v="328197"/>
    <n v="0.78"/>
  </r>
  <r>
    <x v="55"/>
    <x v="0"/>
    <x v="0"/>
    <x v="0"/>
    <n v="90"/>
    <n v="1125"/>
    <n v="2158"/>
    <n v="101250"/>
    <n v="-92970"/>
    <n v="-0.92"/>
  </r>
  <r>
    <x v="13"/>
    <x v="3"/>
    <x v="2"/>
    <x v="3"/>
    <n v="63"/>
    <n v="3859"/>
    <n v="2365"/>
    <n v="243117"/>
    <n v="94122"/>
    <n v="0.39"/>
  </r>
  <r>
    <x v="41"/>
    <x v="2"/>
    <x v="0"/>
    <x v="1"/>
    <n v="31"/>
    <n v="1536"/>
    <n v="1641"/>
    <n v="47616"/>
    <n v="-3255"/>
    <n v="-7.0000000000000007E-2"/>
  </r>
  <r>
    <x v="18"/>
    <x v="3"/>
    <x v="1"/>
    <x v="0"/>
    <n v="53"/>
    <n v="3192"/>
    <n v="2432"/>
    <n v="169176"/>
    <n v="40280"/>
    <n v="0.24"/>
  </r>
  <r>
    <x v="56"/>
    <x v="3"/>
    <x v="2"/>
    <x v="3"/>
    <n v="81"/>
    <n v="4596"/>
    <n v="1314"/>
    <n v="372276"/>
    <n v="265842"/>
    <n v="0.71"/>
  </r>
  <r>
    <x v="57"/>
    <x v="3"/>
    <x v="0"/>
    <x v="2"/>
    <n v="37"/>
    <n v="4283"/>
    <n v="2775"/>
    <n v="158471"/>
    <n v="55796"/>
    <n v="0.35"/>
  </r>
  <r>
    <x v="58"/>
    <x v="0"/>
    <x v="2"/>
    <x v="0"/>
    <n v="5"/>
    <n v="3072"/>
    <n v="2400"/>
    <n v="15360"/>
    <n v="3360"/>
    <n v="0.22"/>
  </r>
  <r>
    <x v="59"/>
    <x v="0"/>
    <x v="1"/>
    <x v="3"/>
    <n v="25"/>
    <n v="2603"/>
    <n v="2763"/>
    <n v="65075"/>
    <n v="-4000"/>
    <n v="-0.06"/>
  </r>
  <r>
    <x v="57"/>
    <x v="3"/>
    <x v="2"/>
    <x v="3"/>
    <n v="59"/>
    <n v="4465"/>
    <n v="2562"/>
    <n v="263435"/>
    <n v="112277"/>
    <n v="0.43"/>
  </r>
  <r>
    <x v="60"/>
    <x v="0"/>
    <x v="2"/>
    <x v="0"/>
    <n v="10"/>
    <n v="1066"/>
    <n v="2594"/>
    <n v="10660"/>
    <n v="-15280"/>
    <n v="-1.43"/>
  </r>
  <r>
    <x v="61"/>
    <x v="1"/>
    <x v="2"/>
    <x v="2"/>
    <n v="96"/>
    <n v="1232"/>
    <n v="2871"/>
    <n v="118272"/>
    <n v="-157344"/>
    <n v="-1.33"/>
  </r>
  <r>
    <x v="62"/>
    <x v="1"/>
    <x v="2"/>
    <x v="0"/>
    <n v="85"/>
    <n v="3156"/>
    <n v="629"/>
    <n v="268260"/>
    <n v="214795"/>
    <n v="0.8"/>
  </r>
  <r>
    <x v="63"/>
    <x v="0"/>
    <x v="1"/>
    <x v="3"/>
    <n v="73"/>
    <n v="2169"/>
    <n v="594"/>
    <n v="158337"/>
    <n v="114975"/>
    <n v="0.73"/>
  </r>
  <r>
    <x v="31"/>
    <x v="0"/>
    <x v="2"/>
    <x v="1"/>
    <n v="99"/>
    <n v="3158"/>
    <n v="2455"/>
    <n v="312642"/>
    <n v="69597"/>
    <n v="0.22"/>
  </r>
  <r>
    <x v="43"/>
    <x v="3"/>
    <x v="2"/>
    <x v="1"/>
    <n v="9"/>
    <n v="3275"/>
    <n v="1293"/>
    <n v="29475"/>
    <n v="17838"/>
    <n v="0.61"/>
  </r>
  <r>
    <x v="64"/>
    <x v="2"/>
    <x v="0"/>
    <x v="0"/>
    <n v="7"/>
    <n v="1110"/>
    <n v="2334"/>
    <n v="7770"/>
    <n v="-8568"/>
    <n v="-1.1000000000000001"/>
  </r>
  <r>
    <x v="65"/>
    <x v="0"/>
    <x v="2"/>
    <x v="3"/>
    <n v="57"/>
    <n v="2493"/>
    <n v="2616"/>
    <n v="142101"/>
    <n v="-7011"/>
    <n v="-0.05"/>
  </r>
  <r>
    <x v="3"/>
    <x v="1"/>
    <x v="0"/>
    <x v="1"/>
    <n v="27"/>
    <n v="3081"/>
    <n v="2183"/>
    <n v="83187"/>
    <n v="24246"/>
    <n v="0.28999999999999998"/>
  </r>
  <r>
    <x v="66"/>
    <x v="3"/>
    <x v="1"/>
    <x v="3"/>
    <n v="57"/>
    <n v="1622"/>
    <n v="510"/>
    <n v="92454"/>
    <n v="63384"/>
    <n v="0.69"/>
  </r>
  <r>
    <x v="31"/>
    <x v="0"/>
    <x v="1"/>
    <x v="0"/>
    <n v="41"/>
    <n v="4847"/>
    <n v="2365"/>
    <n v="198727"/>
    <n v="101762"/>
    <n v="0.51"/>
  </r>
  <r>
    <x v="67"/>
    <x v="1"/>
    <x v="1"/>
    <x v="1"/>
    <n v="78"/>
    <n v="4440"/>
    <n v="1211"/>
    <n v="346320"/>
    <n v="251862"/>
    <n v="0.73"/>
  </r>
  <r>
    <x v="68"/>
    <x v="1"/>
    <x v="1"/>
    <x v="3"/>
    <n v="78"/>
    <n v="3795"/>
    <n v="2570"/>
    <n v="296010"/>
    <n v="95550"/>
    <n v="0.32"/>
  </r>
  <r>
    <x v="48"/>
    <x v="2"/>
    <x v="0"/>
    <x v="1"/>
    <n v="87"/>
    <n v="3642"/>
    <n v="1314"/>
    <n v="316854"/>
    <n v="202536"/>
    <n v="0.64"/>
  </r>
  <r>
    <x v="17"/>
    <x v="3"/>
    <x v="2"/>
    <x v="0"/>
    <n v="21"/>
    <n v="4625"/>
    <n v="845"/>
    <n v="97125"/>
    <n v="79380"/>
    <n v="0.82"/>
  </r>
  <r>
    <x v="69"/>
    <x v="3"/>
    <x v="1"/>
    <x v="3"/>
    <n v="89"/>
    <n v="3472"/>
    <n v="2849"/>
    <n v="309008"/>
    <n v="55447"/>
    <n v="0.18"/>
  </r>
  <r>
    <x v="70"/>
    <x v="2"/>
    <x v="2"/>
    <x v="1"/>
    <n v="82"/>
    <n v="3660"/>
    <n v="862"/>
    <n v="300120"/>
    <n v="229436"/>
    <n v="0.76"/>
  </r>
  <r>
    <x v="23"/>
    <x v="2"/>
    <x v="0"/>
    <x v="0"/>
    <n v="77"/>
    <n v="2541"/>
    <n v="2943"/>
    <n v="195657"/>
    <n v="-30954"/>
    <n v="-0.16"/>
  </r>
  <r>
    <x v="71"/>
    <x v="3"/>
    <x v="0"/>
    <x v="1"/>
    <n v="5"/>
    <n v="3739"/>
    <n v="2765"/>
    <n v="18695"/>
    <n v="4870"/>
    <n v="0.26"/>
  </r>
  <r>
    <x v="72"/>
    <x v="3"/>
    <x v="0"/>
    <x v="1"/>
    <n v="55"/>
    <n v="2305"/>
    <n v="2688"/>
    <n v="126775"/>
    <n v="-21065"/>
    <n v="-0.17"/>
  </r>
  <r>
    <x v="73"/>
    <x v="0"/>
    <x v="1"/>
    <x v="2"/>
    <n v="49"/>
    <n v="4391"/>
    <n v="1484"/>
    <n v="215159"/>
    <n v="142443"/>
    <n v="0.66"/>
  </r>
  <r>
    <x v="3"/>
    <x v="0"/>
    <x v="2"/>
    <x v="2"/>
    <n v="81"/>
    <n v="2761"/>
    <n v="2139"/>
    <n v="223641"/>
    <n v="50382"/>
    <n v="0.23"/>
  </r>
  <r>
    <x v="74"/>
    <x v="2"/>
    <x v="2"/>
    <x v="0"/>
    <n v="8"/>
    <n v="4514"/>
    <n v="1327"/>
    <n v="36112"/>
    <n v="25496"/>
    <n v="0.71"/>
  </r>
  <r>
    <x v="75"/>
    <x v="0"/>
    <x v="2"/>
    <x v="2"/>
    <n v="66"/>
    <n v="2975"/>
    <n v="855"/>
    <n v="196350"/>
    <n v="139920"/>
    <n v="0.71"/>
  </r>
  <r>
    <x v="27"/>
    <x v="1"/>
    <x v="0"/>
    <x v="0"/>
    <n v="69"/>
    <n v="3362"/>
    <n v="1847"/>
    <n v="231978"/>
    <n v="104535"/>
    <n v="0.45"/>
  </r>
  <r>
    <x v="76"/>
    <x v="0"/>
    <x v="1"/>
    <x v="2"/>
    <n v="36"/>
    <n v="1876"/>
    <n v="2363"/>
    <n v="67536"/>
    <n v="-17532"/>
    <n v="-0.26"/>
  </r>
  <r>
    <x v="44"/>
    <x v="0"/>
    <x v="0"/>
    <x v="1"/>
    <n v="38"/>
    <n v="2989"/>
    <n v="626"/>
    <n v="113582"/>
    <n v="89794"/>
    <n v="0.79"/>
  </r>
  <r>
    <x v="10"/>
    <x v="1"/>
    <x v="0"/>
    <x v="0"/>
    <n v="96"/>
    <n v="4812"/>
    <n v="1103"/>
    <n v="461952"/>
    <n v="356064"/>
    <n v="0.77"/>
  </r>
  <r>
    <x v="77"/>
    <x v="2"/>
    <x v="2"/>
    <x v="0"/>
    <n v="99"/>
    <n v="4448"/>
    <n v="2428"/>
    <n v="440352"/>
    <n v="199980"/>
    <n v="0.45"/>
  </r>
  <r>
    <x v="78"/>
    <x v="1"/>
    <x v="0"/>
    <x v="1"/>
    <n v="76"/>
    <n v="2312"/>
    <n v="1513"/>
    <n v="175712"/>
    <n v="60724"/>
    <n v="0.35"/>
  </r>
  <r>
    <x v="79"/>
    <x v="0"/>
    <x v="2"/>
    <x v="0"/>
    <n v="43"/>
    <n v="2460"/>
    <n v="550"/>
    <n v="105780"/>
    <n v="82130"/>
    <n v="0.78"/>
  </r>
  <r>
    <x v="80"/>
    <x v="2"/>
    <x v="1"/>
    <x v="0"/>
    <n v="30"/>
    <n v="3709"/>
    <n v="1930"/>
    <n v="111270"/>
    <n v="53370"/>
    <n v="0.48"/>
  </r>
  <r>
    <x v="53"/>
    <x v="0"/>
    <x v="2"/>
    <x v="2"/>
    <n v="38"/>
    <n v="3324"/>
    <n v="2292"/>
    <n v="126312"/>
    <n v="39216"/>
    <n v="0.31"/>
  </r>
  <r>
    <x v="78"/>
    <x v="1"/>
    <x v="1"/>
    <x v="0"/>
    <n v="58"/>
    <n v="2733"/>
    <n v="2136"/>
    <n v="158514"/>
    <n v="34626"/>
    <n v="0.22"/>
  </r>
  <r>
    <x v="81"/>
    <x v="1"/>
    <x v="2"/>
    <x v="3"/>
    <n v="7"/>
    <n v="2605"/>
    <n v="2145"/>
    <n v="18235"/>
    <n v="3220"/>
    <n v="0.18"/>
  </r>
  <r>
    <x v="81"/>
    <x v="0"/>
    <x v="0"/>
    <x v="1"/>
    <n v="54"/>
    <n v="2526"/>
    <n v="2967"/>
    <n v="136404"/>
    <n v="-23814"/>
    <n v="-0.17"/>
  </r>
  <r>
    <x v="82"/>
    <x v="3"/>
    <x v="0"/>
    <x v="2"/>
    <n v="16"/>
    <n v="3671"/>
    <n v="1705"/>
    <n v="58736"/>
    <n v="31456"/>
    <n v="0.54"/>
  </r>
  <r>
    <x v="83"/>
    <x v="3"/>
    <x v="1"/>
    <x v="2"/>
    <n v="69"/>
    <n v="3563"/>
    <n v="2354"/>
    <n v="245847"/>
    <n v="83421"/>
    <n v="0.34"/>
  </r>
  <r>
    <x v="84"/>
    <x v="1"/>
    <x v="1"/>
    <x v="3"/>
    <n v="58"/>
    <n v="4421"/>
    <n v="1066"/>
    <n v="256418"/>
    <n v="194590"/>
    <n v="0.76"/>
  </r>
  <r>
    <x v="72"/>
    <x v="1"/>
    <x v="1"/>
    <x v="1"/>
    <n v="9"/>
    <n v="3890"/>
    <n v="2918"/>
    <n v="35010"/>
    <n v="8748"/>
    <n v="0.25"/>
  </r>
  <r>
    <x v="85"/>
    <x v="3"/>
    <x v="2"/>
    <x v="1"/>
    <n v="98"/>
    <n v="4517"/>
    <n v="1435"/>
    <n v="442666"/>
    <n v="302036"/>
    <n v="0.68"/>
  </r>
  <r>
    <x v="37"/>
    <x v="3"/>
    <x v="2"/>
    <x v="2"/>
    <n v="98"/>
    <n v="4901"/>
    <n v="2434"/>
    <n v="480298"/>
    <n v="241766"/>
    <n v="0.5"/>
  </r>
  <r>
    <x v="5"/>
    <x v="0"/>
    <x v="1"/>
    <x v="0"/>
    <n v="61"/>
    <n v="3397"/>
    <n v="1832"/>
    <n v="207217"/>
    <n v="95465"/>
    <n v="0.46"/>
  </r>
  <r>
    <x v="86"/>
    <x v="0"/>
    <x v="0"/>
    <x v="2"/>
    <n v="21"/>
    <n v="2630"/>
    <n v="701"/>
    <n v="55230"/>
    <n v="40509"/>
    <n v="0.73"/>
  </r>
  <r>
    <x v="63"/>
    <x v="3"/>
    <x v="2"/>
    <x v="1"/>
    <n v="51"/>
    <n v="4735"/>
    <n v="2860"/>
    <n v="241485"/>
    <n v="95625"/>
    <n v="0.4"/>
  </r>
  <r>
    <x v="82"/>
    <x v="0"/>
    <x v="2"/>
    <x v="3"/>
    <n v="27"/>
    <n v="3870"/>
    <n v="616"/>
    <n v="104490"/>
    <n v="87858"/>
    <n v="0.84"/>
  </r>
  <r>
    <x v="65"/>
    <x v="0"/>
    <x v="2"/>
    <x v="2"/>
    <n v="83"/>
    <n v="2160"/>
    <n v="1436"/>
    <n v="179280"/>
    <n v="60092"/>
    <n v="0.34"/>
  </r>
  <r>
    <x v="87"/>
    <x v="2"/>
    <x v="1"/>
    <x v="1"/>
    <n v="89"/>
    <n v="1758"/>
    <n v="1074"/>
    <n v="156462"/>
    <n v="60876"/>
    <n v="0.39"/>
  </r>
  <r>
    <x v="88"/>
    <x v="0"/>
    <x v="1"/>
    <x v="2"/>
    <n v="18"/>
    <n v="3946"/>
    <n v="2791"/>
    <n v="71028"/>
    <n v="20790"/>
    <n v="0.28999999999999998"/>
  </r>
  <r>
    <x v="89"/>
    <x v="1"/>
    <x v="1"/>
    <x v="0"/>
    <n v="70"/>
    <n v="1242"/>
    <n v="1036"/>
    <n v="86940"/>
    <n v="14420"/>
    <n v="0.17"/>
  </r>
  <r>
    <x v="90"/>
    <x v="0"/>
    <x v="1"/>
    <x v="2"/>
    <n v="79"/>
    <n v="3590"/>
    <n v="2125"/>
    <n v="283610"/>
    <n v="115735"/>
    <n v="0.41"/>
  </r>
  <r>
    <x v="50"/>
    <x v="0"/>
    <x v="1"/>
    <x v="2"/>
    <n v="55"/>
    <n v="2063"/>
    <n v="2622"/>
    <n v="113465"/>
    <n v="-30745"/>
    <n v="-0.27"/>
  </r>
  <r>
    <x v="13"/>
    <x v="3"/>
    <x v="0"/>
    <x v="1"/>
    <n v="42"/>
    <n v="1228"/>
    <n v="885"/>
    <n v="51576"/>
    <n v="14406"/>
    <n v="0.28000000000000003"/>
  </r>
  <r>
    <x v="52"/>
    <x v="1"/>
    <x v="0"/>
    <x v="1"/>
    <n v="68"/>
    <n v="3595"/>
    <n v="974"/>
    <n v="244460"/>
    <n v="178228"/>
    <n v="0.73"/>
  </r>
  <r>
    <x v="91"/>
    <x v="0"/>
    <x v="1"/>
    <x v="1"/>
    <n v="42"/>
    <n v="1919"/>
    <n v="917"/>
    <n v="80598"/>
    <n v="42084"/>
    <n v="0.52"/>
  </r>
  <r>
    <x v="92"/>
    <x v="0"/>
    <x v="2"/>
    <x v="2"/>
    <n v="54"/>
    <n v="2246"/>
    <n v="2894"/>
    <n v="121284"/>
    <n v="-34992"/>
    <n v="-0.28999999999999998"/>
  </r>
  <r>
    <x v="32"/>
    <x v="2"/>
    <x v="1"/>
    <x v="0"/>
    <n v="86"/>
    <n v="1005"/>
    <n v="1438"/>
    <n v="86430"/>
    <n v="-37238"/>
    <n v="-0.43"/>
  </r>
  <r>
    <x v="15"/>
    <x v="0"/>
    <x v="0"/>
    <x v="3"/>
    <n v="34"/>
    <n v="4393"/>
    <n v="1454"/>
    <n v="149362"/>
    <n v="99926"/>
    <n v="0.67"/>
  </r>
  <r>
    <x v="93"/>
    <x v="0"/>
    <x v="0"/>
    <x v="3"/>
    <n v="83"/>
    <n v="1467"/>
    <n v="1375"/>
    <n v="121761"/>
    <n v="7636"/>
    <n v="0.06"/>
  </r>
  <r>
    <x v="84"/>
    <x v="2"/>
    <x v="2"/>
    <x v="1"/>
    <n v="95"/>
    <n v="2755"/>
    <n v="1262"/>
    <n v="261725"/>
    <n v="141835"/>
    <n v="0.54"/>
  </r>
  <r>
    <x v="94"/>
    <x v="3"/>
    <x v="0"/>
    <x v="1"/>
    <n v="55"/>
    <n v="1074"/>
    <n v="1702"/>
    <n v="59070"/>
    <n v="-34540"/>
    <n v="-0.57999999999999996"/>
  </r>
  <r>
    <x v="0"/>
    <x v="0"/>
    <x v="1"/>
    <x v="2"/>
    <n v="67"/>
    <n v="1003"/>
    <n v="1705"/>
    <n v="67201"/>
    <n v="-47034"/>
    <n v="-0.7"/>
  </r>
  <r>
    <x v="95"/>
    <x v="2"/>
    <x v="2"/>
    <x v="3"/>
    <n v="56"/>
    <n v="2870"/>
    <n v="1163"/>
    <n v="160720"/>
    <n v="95592"/>
    <n v="0.59"/>
  </r>
  <r>
    <x v="96"/>
    <x v="1"/>
    <x v="1"/>
    <x v="1"/>
    <n v="42"/>
    <n v="1645"/>
    <n v="524"/>
    <n v="69090"/>
    <n v="47082"/>
    <n v="0.68"/>
  </r>
  <r>
    <x v="3"/>
    <x v="3"/>
    <x v="1"/>
    <x v="0"/>
    <n v="92"/>
    <n v="1117"/>
    <n v="2490"/>
    <n v="102764"/>
    <n v="-126316"/>
    <n v="-1.23"/>
  </r>
  <r>
    <x v="45"/>
    <x v="1"/>
    <x v="2"/>
    <x v="0"/>
    <n v="83"/>
    <n v="3928"/>
    <n v="1703"/>
    <n v="326024"/>
    <n v="184675"/>
    <n v="0.56999999999999995"/>
  </r>
  <r>
    <x v="97"/>
    <x v="1"/>
    <x v="1"/>
    <x v="1"/>
    <n v="34"/>
    <n v="2629"/>
    <n v="1209"/>
    <n v="89386"/>
    <n v="48280"/>
    <n v="0.54"/>
  </r>
  <r>
    <x v="71"/>
    <x v="2"/>
    <x v="0"/>
    <x v="1"/>
    <n v="55"/>
    <n v="3551"/>
    <n v="2379"/>
    <n v="195305"/>
    <n v="64460"/>
    <n v="0.33"/>
  </r>
  <r>
    <x v="98"/>
    <x v="0"/>
    <x v="1"/>
    <x v="3"/>
    <n v="85"/>
    <n v="3021"/>
    <n v="1684"/>
    <n v="256785"/>
    <n v="113645"/>
    <n v="0.44"/>
  </r>
  <r>
    <x v="79"/>
    <x v="2"/>
    <x v="2"/>
    <x v="3"/>
    <n v="9"/>
    <n v="1946"/>
    <n v="2724"/>
    <n v="17514"/>
    <n v="-7002"/>
    <n v="-0.4"/>
  </r>
  <r>
    <x v="99"/>
    <x v="2"/>
    <x v="2"/>
    <x v="2"/>
    <n v="33"/>
    <n v="3621"/>
    <n v="784"/>
    <n v="119493"/>
    <n v="93621"/>
    <n v="0.78"/>
  </r>
  <r>
    <x v="100"/>
    <x v="2"/>
    <x v="2"/>
    <x v="3"/>
    <n v="8"/>
    <n v="2464"/>
    <n v="562"/>
    <n v="19712"/>
    <n v="15216"/>
    <n v="0.77"/>
  </r>
  <r>
    <x v="99"/>
    <x v="2"/>
    <x v="1"/>
    <x v="0"/>
    <n v="14"/>
    <n v="1193"/>
    <n v="1502"/>
    <n v="16702"/>
    <n v="-4326"/>
    <n v="-0.26"/>
  </r>
  <r>
    <x v="41"/>
    <x v="3"/>
    <x v="2"/>
    <x v="0"/>
    <n v="60"/>
    <n v="1846"/>
    <n v="1161"/>
    <n v="110760"/>
    <n v="41100"/>
    <n v="0.37"/>
  </r>
  <r>
    <x v="87"/>
    <x v="0"/>
    <x v="2"/>
    <x v="1"/>
    <n v="21"/>
    <n v="3762"/>
    <n v="2703"/>
    <n v="79002"/>
    <n v="22239"/>
    <n v="0.28000000000000003"/>
  </r>
  <r>
    <x v="101"/>
    <x v="1"/>
    <x v="1"/>
    <x v="3"/>
    <n v="78"/>
    <n v="2415"/>
    <n v="1992"/>
    <n v="188370"/>
    <n v="32994"/>
    <n v="0.18"/>
  </r>
  <r>
    <x v="102"/>
    <x v="1"/>
    <x v="0"/>
    <x v="2"/>
    <n v="21"/>
    <n v="4097"/>
    <n v="1466"/>
    <n v="86037"/>
    <n v="55251"/>
    <n v="0.64"/>
  </r>
  <r>
    <x v="103"/>
    <x v="0"/>
    <x v="1"/>
    <x v="0"/>
    <n v="88"/>
    <n v="2458"/>
    <n v="1348"/>
    <n v="216304"/>
    <n v="97680"/>
    <n v="0.45"/>
  </r>
  <r>
    <x v="104"/>
    <x v="1"/>
    <x v="2"/>
    <x v="0"/>
    <n v="92"/>
    <n v="3220"/>
    <n v="1607"/>
    <n v="296240"/>
    <n v="148396"/>
    <n v="0.5"/>
  </r>
  <r>
    <x v="105"/>
    <x v="0"/>
    <x v="2"/>
    <x v="2"/>
    <n v="73"/>
    <n v="4371"/>
    <n v="1188"/>
    <n v="319083"/>
    <n v="232359"/>
    <n v="0.73"/>
  </r>
  <r>
    <x v="106"/>
    <x v="1"/>
    <x v="1"/>
    <x v="2"/>
    <n v="38"/>
    <n v="2668"/>
    <n v="647"/>
    <n v="101384"/>
    <n v="76798"/>
    <n v="0.76"/>
  </r>
  <r>
    <x v="76"/>
    <x v="2"/>
    <x v="0"/>
    <x v="0"/>
    <n v="10"/>
    <n v="3373"/>
    <n v="841"/>
    <n v="33730"/>
    <n v="25320"/>
    <n v="0.75"/>
  </r>
  <r>
    <x v="107"/>
    <x v="1"/>
    <x v="2"/>
    <x v="0"/>
    <n v="57"/>
    <n v="2433"/>
    <n v="1586"/>
    <n v="138681"/>
    <n v="48279"/>
    <n v="0.35"/>
  </r>
  <r>
    <x v="108"/>
    <x v="0"/>
    <x v="2"/>
    <x v="2"/>
    <n v="70"/>
    <n v="2141"/>
    <n v="2224"/>
    <n v="149870"/>
    <n v="-5810"/>
    <n v="-0.04"/>
  </r>
  <r>
    <x v="85"/>
    <x v="0"/>
    <x v="2"/>
    <x v="0"/>
    <n v="81"/>
    <n v="3883"/>
    <n v="1883"/>
    <n v="314523"/>
    <n v="162000"/>
    <n v="0.52"/>
  </r>
  <r>
    <x v="109"/>
    <x v="0"/>
    <x v="1"/>
    <x v="1"/>
    <n v="47"/>
    <n v="2810"/>
    <n v="826"/>
    <n v="132070"/>
    <n v="93248"/>
    <n v="0.71"/>
  </r>
  <r>
    <x v="30"/>
    <x v="0"/>
    <x v="2"/>
    <x v="1"/>
    <n v="79"/>
    <n v="1723"/>
    <n v="2292"/>
    <n v="136117"/>
    <n v="-44951"/>
    <n v="-0.33"/>
  </r>
  <r>
    <x v="74"/>
    <x v="0"/>
    <x v="0"/>
    <x v="2"/>
    <n v="27"/>
    <n v="1224"/>
    <n v="2259"/>
    <n v="33048"/>
    <n v="-27945"/>
    <n v="-0.85"/>
  </r>
  <r>
    <x v="88"/>
    <x v="3"/>
    <x v="2"/>
    <x v="3"/>
    <n v="59"/>
    <n v="1531"/>
    <n v="1489"/>
    <n v="90329"/>
    <n v="2478"/>
    <n v="0.03"/>
  </r>
  <r>
    <x v="110"/>
    <x v="3"/>
    <x v="2"/>
    <x v="2"/>
    <n v="84"/>
    <n v="1112"/>
    <n v="2762"/>
    <n v="93408"/>
    <n v="-138600"/>
    <n v="-1.48"/>
  </r>
  <r>
    <x v="56"/>
    <x v="1"/>
    <x v="0"/>
    <x v="2"/>
    <n v="99"/>
    <n v="3187"/>
    <n v="2982"/>
    <n v="315513"/>
    <n v="20295"/>
    <n v="0.06"/>
  </r>
  <r>
    <x v="85"/>
    <x v="0"/>
    <x v="2"/>
    <x v="3"/>
    <n v="79"/>
    <n v="1558"/>
    <n v="1451"/>
    <n v="123082"/>
    <n v="8453"/>
    <n v="7.0000000000000007E-2"/>
  </r>
  <r>
    <x v="85"/>
    <x v="1"/>
    <x v="1"/>
    <x v="3"/>
    <n v="20"/>
    <n v="3048"/>
    <n v="1222"/>
    <n v="60960"/>
    <n v="36520"/>
    <n v="0.6"/>
  </r>
  <r>
    <x v="34"/>
    <x v="0"/>
    <x v="1"/>
    <x v="3"/>
    <n v="12"/>
    <n v="3137"/>
    <n v="2579"/>
    <n v="37644"/>
    <n v="6696"/>
    <n v="0.18"/>
  </r>
  <r>
    <x v="62"/>
    <x v="0"/>
    <x v="1"/>
    <x v="1"/>
    <n v="8"/>
    <n v="1653"/>
    <n v="2832"/>
    <n v="13224"/>
    <n v="-9432"/>
    <n v="-0.71"/>
  </r>
  <r>
    <x v="46"/>
    <x v="3"/>
    <x v="0"/>
    <x v="0"/>
    <n v="8"/>
    <n v="1319"/>
    <n v="928"/>
    <n v="10552"/>
    <n v="3128"/>
    <n v="0.3"/>
  </r>
  <r>
    <x v="111"/>
    <x v="3"/>
    <x v="2"/>
    <x v="1"/>
    <n v="60"/>
    <n v="2573"/>
    <n v="2000"/>
    <n v="154380"/>
    <n v="34380"/>
    <n v="0.22"/>
  </r>
  <r>
    <x v="31"/>
    <x v="2"/>
    <x v="1"/>
    <x v="0"/>
    <n v="29"/>
    <n v="2828"/>
    <n v="785"/>
    <n v="82012"/>
    <n v="59247"/>
    <n v="0.72"/>
  </r>
  <r>
    <x v="9"/>
    <x v="3"/>
    <x v="0"/>
    <x v="1"/>
    <n v="71"/>
    <n v="2917"/>
    <n v="2565"/>
    <n v="207107"/>
    <n v="24992"/>
    <n v="0.12"/>
  </r>
  <r>
    <x v="112"/>
    <x v="2"/>
    <x v="2"/>
    <x v="0"/>
    <n v="71"/>
    <n v="1138"/>
    <n v="1268"/>
    <n v="80798"/>
    <n v="-9230"/>
    <n v="-0.11"/>
  </r>
  <r>
    <x v="47"/>
    <x v="2"/>
    <x v="0"/>
    <x v="1"/>
    <n v="31"/>
    <n v="4582"/>
    <n v="1894"/>
    <n v="142042"/>
    <n v="83328"/>
    <n v="0.59"/>
  </r>
  <r>
    <x v="31"/>
    <x v="2"/>
    <x v="1"/>
    <x v="3"/>
    <n v="97"/>
    <n v="4939"/>
    <n v="693"/>
    <n v="479083"/>
    <n v="411862"/>
    <n v="0.86"/>
  </r>
  <r>
    <x v="77"/>
    <x v="2"/>
    <x v="1"/>
    <x v="2"/>
    <n v="36"/>
    <n v="3892"/>
    <n v="1487"/>
    <n v="140112"/>
    <n v="86580"/>
    <n v="0.62"/>
  </r>
  <r>
    <x v="113"/>
    <x v="2"/>
    <x v="1"/>
    <x v="1"/>
    <n v="54"/>
    <n v="3026"/>
    <n v="1636"/>
    <n v="163404"/>
    <n v="75060"/>
    <n v="0.46"/>
  </r>
  <r>
    <x v="95"/>
    <x v="1"/>
    <x v="0"/>
    <x v="0"/>
    <n v="65"/>
    <n v="3306"/>
    <n v="2661"/>
    <n v="214890"/>
    <n v="41925"/>
    <n v="0.2"/>
  </r>
  <r>
    <x v="31"/>
    <x v="3"/>
    <x v="0"/>
    <x v="3"/>
    <n v="55"/>
    <n v="4744"/>
    <n v="2201"/>
    <n v="260920"/>
    <n v="139865"/>
    <n v="0.54"/>
  </r>
  <r>
    <x v="113"/>
    <x v="2"/>
    <x v="1"/>
    <x v="1"/>
    <n v="23"/>
    <n v="1901"/>
    <n v="1446"/>
    <n v="43723"/>
    <n v="10465"/>
    <n v="0.24"/>
  </r>
  <r>
    <x v="114"/>
    <x v="0"/>
    <x v="0"/>
    <x v="1"/>
    <n v="25"/>
    <n v="1689"/>
    <n v="1330"/>
    <n v="42225"/>
    <n v="8975"/>
    <n v="0.21"/>
  </r>
  <r>
    <x v="115"/>
    <x v="3"/>
    <x v="1"/>
    <x v="3"/>
    <n v="9"/>
    <n v="3039"/>
    <n v="2420"/>
    <n v="27351"/>
    <n v="5571"/>
    <n v="0.2"/>
  </r>
  <r>
    <x v="0"/>
    <x v="3"/>
    <x v="1"/>
    <x v="1"/>
    <n v="86"/>
    <n v="1009"/>
    <n v="554"/>
    <n v="86774"/>
    <n v="39130"/>
    <n v="0.45"/>
  </r>
  <r>
    <x v="116"/>
    <x v="2"/>
    <x v="2"/>
    <x v="2"/>
    <n v="96"/>
    <n v="1260"/>
    <n v="1299"/>
    <n v="120960"/>
    <n v="-3744"/>
    <n v="-0.03"/>
  </r>
  <r>
    <x v="66"/>
    <x v="1"/>
    <x v="0"/>
    <x v="1"/>
    <n v="46"/>
    <n v="2942"/>
    <n v="1277"/>
    <n v="135332"/>
    <n v="76590"/>
    <n v="0.56999999999999995"/>
  </r>
  <r>
    <x v="117"/>
    <x v="2"/>
    <x v="1"/>
    <x v="2"/>
    <n v="65"/>
    <n v="2673"/>
    <n v="1981"/>
    <n v="173745"/>
    <n v="44980"/>
    <n v="0.26"/>
  </r>
  <r>
    <x v="96"/>
    <x v="1"/>
    <x v="1"/>
    <x v="2"/>
    <n v="26"/>
    <n v="3219"/>
    <n v="2401"/>
    <n v="83694"/>
    <n v="21268"/>
    <n v="0.25"/>
  </r>
  <r>
    <x v="88"/>
    <x v="0"/>
    <x v="0"/>
    <x v="3"/>
    <n v="25"/>
    <n v="3945"/>
    <n v="2709"/>
    <n v="98625"/>
    <n v="30900"/>
    <n v="0.31"/>
  </r>
  <r>
    <x v="118"/>
    <x v="3"/>
    <x v="2"/>
    <x v="1"/>
    <n v="74"/>
    <n v="3060"/>
    <n v="2634"/>
    <n v="226440"/>
    <n v="31524"/>
    <n v="0.14000000000000001"/>
  </r>
  <r>
    <x v="33"/>
    <x v="0"/>
    <x v="2"/>
    <x v="3"/>
    <n v="5"/>
    <n v="2191"/>
    <n v="554"/>
    <n v="10955"/>
    <n v="8185"/>
    <n v="0.75"/>
  </r>
  <r>
    <x v="50"/>
    <x v="1"/>
    <x v="1"/>
    <x v="1"/>
    <n v="9"/>
    <n v="4713"/>
    <n v="2323"/>
    <n v="42417"/>
    <n v="21510"/>
    <n v="0.51"/>
  </r>
  <r>
    <x v="14"/>
    <x v="1"/>
    <x v="0"/>
    <x v="1"/>
    <n v="16"/>
    <n v="2619"/>
    <n v="1701"/>
    <n v="41904"/>
    <n v="14688"/>
    <n v="0.35"/>
  </r>
  <r>
    <x v="29"/>
    <x v="0"/>
    <x v="2"/>
    <x v="0"/>
    <n v="94"/>
    <n v="1320"/>
    <n v="1332"/>
    <n v="124080"/>
    <n v="-1128"/>
    <n v="-0.01"/>
  </r>
  <r>
    <x v="119"/>
    <x v="1"/>
    <x v="0"/>
    <x v="1"/>
    <n v="50"/>
    <n v="2342"/>
    <n v="812"/>
    <n v="117100"/>
    <n v="76500"/>
    <n v="0.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52011-86A2-4EFF-B2E4-7F7203E81A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J23:J24"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Profit Margin(%) " fld="9"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E0303-C8B1-4759-B79F-CFC6312E34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Rep">
  <location ref="D29:G34"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axis="axisRow" showAll="0">
      <items count="5">
        <item x="1"/>
        <item x="2"/>
        <item x="0"/>
        <item x="3"/>
        <item t="default"/>
      </items>
    </pivotField>
    <pivotField dataField="1" showAll="0"/>
    <pivotField showAll="0"/>
    <pivotField showAll="0"/>
    <pivotField dataField="1"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 Revenue " fld="7" baseField="0" baseItem="0" numFmtId="164"/>
    <dataField name="Profit" fld="8" baseField="0" baseItem="0" numFmtId="164"/>
    <dataField name=" Units Sold" fld="4" baseField="0" baseItem="0"/>
  </dataFields>
  <formats count="10">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 dxfId="8">
      <pivotArea type="all" dataOnly="0" outline="0" fieldPosition="0"/>
    </format>
    <format dxfId="7">
      <pivotArea outline="0" collapsedLevelsAreSubtotals="1" fieldPosition="0"/>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grandRow="1" outline="0" fieldPosition="0"/>
    </format>
    <format dxfId="3">
      <pivotArea dataOnly="0" labelOnly="1" outline="0" fieldPosition="0">
        <references count="1">
          <reference field="4294967294" count="3">
            <x v="0"/>
            <x v="1"/>
            <x v="2"/>
          </reference>
        </references>
      </pivotArea>
    </format>
  </formats>
  <chartFormats count="3">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62ECD-15D5-4B1E-8F91-56583DDB9D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location ref="D19:G23"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axis="axisRow" showAll="0">
      <items count="4">
        <item x="1"/>
        <item x="2"/>
        <item x="0"/>
        <item t="default"/>
      </items>
    </pivotField>
    <pivotField showAll="0">
      <items count="5">
        <item x="1"/>
        <item x="2"/>
        <item x="0"/>
        <item x="3"/>
        <item t="default"/>
      </items>
    </pivotField>
    <pivotField showAll="0"/>
    <pivotField showAll="0"/>
    <pivotField showAll="0"/>
    <pivotField dataField="1" showAll="0"/>
    <pivotField dataField="1"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3">
    <i>
      <x/>
    </i>
    <i i="1">
      <x v="1"/>
    </i>
    <i i="2">
      <x v="2"/>
    </i>
  </colItems>
  <dataFields count="3">
    <dataField name="Revenue " fld="7" baseField="0" baseItem="0" numFmtId="44"/>
    <dataField name="Profit Margin(%) " fld="9" baseField="0" baseItem="0"/>
    <dataField name="Profit" fld="8" baseField="0" baseItem="0" numFmtId="44"/>
  </dataFields>
  <formats count="12">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2"/>
          </reference>
        </references>
      </pivotArea>
    </format>
    <format dxfId="22">
      <pivotArea field="2" grandRow="1" outline="0" collapsedLevelsAreSubtotals="1" axis="axisRow" fieldPosition="0">
        <references count="1">
          <reference field="4294967294" count="1" selected="0">
            <x v="0"/>
          </reference>
        </references>
      </pivotArea>
    </format>
    <format dxfId="21">
      <pivotArea field="2" grandRow="1" outline="0" collapsedLevelsAreSubtotals="1" axis="axisRow" fieldPosition="0">
        <references count="1">
          <reference field="4294967294" count="1" selected="0">
            <x v="2"/>
          </reference>
        </references>
      </pivotArea>
    </format>
    <format dxfId="20">
      <pivotArea dataOnly="0" outline="0" fieldPosition="0">
        <references count="1">
          <reference field="4294967294" count="1">
            <x v="2"/>
          </reference>
        </references>
      </pivotArea>
    </format>
    <format dxfId="19">
      <pivotArea dataOnly="0"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fieldPosition="0">
        <references count="1">
          <reference field="4294967294" count="3">
            <x v="0"/>
            <x v="1"/>
            <x v="2"/>
          </reference>
        </references>
      </pivotArea>
    </format>
  </formats>
  <chartFormats count="3">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BFF7A8-5C69-4929-B599-7AF111B355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J19:J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Revenue " fld="7" baseField="0" baseItem="0" numFmtId="5"/>
  </dataFields>
  <formats count="6">
    <format dxfId="30">
      <pivotArea dataOnly="0" outline="0" fieldPosition="0">
        <references count="1">
          <reference field="4294967294" count="1">
            <x v="0"/>
          </reference>
        </references>
      </pivotArea>
    </format>
    <format dxfId="29">
      <pivotArea outline="0" collapsedLevelsAreSubtotals="1" fieldPosition="0">
        <references count="1">
          <reference field="4294967294" count="1" selected="0">
            <x v="0"/>
          </reference>
        </references>
      </pivotArea>
    </format>
    <format dxfId="28">
      <pivotArea dataOnly="0" labelOnly="1" outline="0" fieldPosition="0">
        <references count="1">
          <reference field="4294967294" count="1">
            <x v="0"/>
          </reference>
        </references>
      </pivotArea>
    </format>
    <format dxfId="27">
      <pivotArea type="all" dataOnly="0" outline="0" fieldPosition="0"/>
    </format>
    <format dxfId="26">
      <pivotArea outline="0" collapsedLevelsAreSubtotals="1" fieldPosition="0"/>
    </format>
    <format dxfId="25">
      <pivotArea dataOnly="0" labelOnly="1" outline="0" axis="axisValues" fieldPosition="0"/>
    </format>
  </formats>
  <chartFormats count="1">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940D3-F698-42AC-BAE2-05322D4006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colHeaderCaption="Product ">
  <location ref="D42:H48" firstHeaderRow="1" firstDataRow="2"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items count="5">
        <item x="1"/>
        <item x="3"/>
        <item x="2"/>
        <item x="0"/>
        <item t="default"/>
      </items>
    </pivotField>
    <pivotField axis="axisCol">
      <items count="4">
        <item n="Product A" x="1"/>
        <item x="2"/>
        <item x="0"/>
        <item t="default"/>
      </items>
    </pivotField>
    <pivotField showAll="0">
      <items count="5">
        <item x="1"/>
        <item x="2"/>
        <item x="0"/>
        <item x="3"/>
        <item t="default"/>
      </items>
    </pivotField>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4">
    <i>
      <x/>
    </i>
    <i>
      <x v="1"/>
    </i>
    <i>
      <x v="2"/>
    </i>
    <i t="grand">
      <x/>
    </i>
  </colItems>
  <dataFields count="1">
    <dataField name="Profit" fld="8" baseField="0" baseItem="0" numFmtId="164"/>
  </dataFields>
  <formats count="17">
    <format dxfId="47">
      <pivotArea outline="0" collapsedLevelsAreSubtotals="1" fieldPosition="0">
        <references count="1">
          <reference field="2" count="1" selected="0">
            <x v="0"/>
          </reference>
        </references>
      </pivotArea>
    </format>
    <format dxfId="46">
      <pivotArea outline="0" collapsedLevelsAreSubtotals="1" fieldPosition="0">
        <references count="1">
          <reference field="2" count="1" selected="0">
            <x v="1"/>
          </reference>
        </references>
      </pivotArea>
    </format>
    <format dxfId="45">
      <pivotArea outline="0" collapsedLevelsAreSubtotals="1" fieldPosition="0">
        <references count="1">
          <reference field="2" count="1" selected="0">
            <x v="2"/>
          </reference>
        </references>
      </pivotArea>
    </format>
    <format dxfId="44">
      <pivotArea grandCol="1" outline="0" collapsedLevelsAreSubtotals="1" fieldPosition="0"/>
    </format>
    <format dxfId="43">
      <pivotArea outline="0" collapsedLevelsAreSubtotals="1" fieldPosition="0"/>
    </format>
    <format dxfId="42">
      <pivotArea dataOnly="0" labelOnly="1" fieldPosition="0">
        <references count="1">
          <reference field="2"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2" type="button" dataOnly="0" labelOnly="1" outline="0" axis="axisCol" fieldPosition="0"/>
    </format>
    <format dxfId="36">
      <pivotArea type="topRight" dataOnly="0" labelOnly="1" outline="0"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fieldPosition="0">
        <references count="1">
          <reference field="2" count="0"/>
        </references>
      </pivotArea>
    </format>
    <format dxfId="31">
      <pivotArea dataOnly="0" labelOnly="1" grandCol="1" outline="0" fieldPosition="0"/>
    </format>
  </formats>
  <chartFormats count="9">
    <chartFormat chart="9" format="3" series="1">
      <pivotArea type="data" outline="0" fieldPosition="0">
        <references count="2">
          <reference field="4294967294" count="1" selected="0">
            <x v="0"/>
          </reference>
          <reference field="2" count="1" selected="0">
            <x v="0"/>
          </reference>
        </references>
      </pivotArea>
    </chartFormat>
    <chartFormat chart="9" format="4" series="1">
      <pivotArea type="data" outline="0" fieldPosition="0">
        <references count="2">
          <reference field="4294967294" count="1" selected="0">
            <x v="0"/>
          </reference>
          <reference field="2" count="1" selected="0">
            <x v="1"/>
          </reference>
        </references>
      </pivotArea>
    </chartFormat>
    <chartFormat chart="9" format="5" series="1">
      <pivotArea type="data" outline="0" fieldPosition="0">
        <references count="2">
          <reference field="4294967294" count="1" selected="0">
            <x v="0"/>
          </reference>
          <reference field="2" count="1" selected="0">
            <x v="2"/>
          </reference>
        </references>
      </pivotArea>
    </chartFormat>
    <chartFormat chart="11" format="9" series="1">
      <pivotArea type="data" outline="0" fieldPosition="0">
        <references count="2">
          <reference field="4294967294" count="1" selected="0">
            <x v="0"/>
          </reference>
          <reference field="2" count="1" selected="0">
            <x v="0"/>
          </reference>
        </references>
      </pivotArea>
    </chartFormat>
    <chartFormat chart="11" format="10" series="1">
      <pivotArea type="data" outline="0" fieldPosition="0">
        <references count="2">
          <reference field="4294967294" count="1" selected="0">
            <x v="0"/>
          </reference>
          <reference field="2" count="1" selected="0">
            <x v="1"/>
          </reference>
        </references>
      </pivotArea>
    </chartFormat>
    <chartFormat chart="11" format="11" series="1">
      <pivotArea type="data" outline="0" fieldPosition="0">
        <references count="2">
          <reference field="4294967294" count="1" selected="0">
            <x v="0"/>
          </reference>
          <reference field="2" count="1" selected="0">
            <x v="2"/>
          </reference>
        </references>
      </pivotArea>
    </chartFormat>
    <chartFormat chart="13" format="9" series="1">
      <pivotArea type="data" outline="0" fieldPosition="0">
        <references count="2">
          <reference field="4294967294" count="1" selected="0">
            <x v="0"/>
          </reference>
          <reference field="2" count="1" selected="0">
            <x v="0"/>
          </reference>
        </references>
      </pivotArea>
    </chartFormat>
    <chartFormat chart="13" format="10" series="1">
      <pivotArea type="data" outline="0" fieldPosition="0">
        <references count="2">
          <reference field="4294967294" count="1" selected="0">
            <x v="0"/>
          </reference>
          <reference field="2" count="1" selected="0">
            <x v="1"/>
          </reference>
        </references>
      </pivotArea>
    </chartFormat>
    <chartFormat chart="13"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2302AF-95DE-4F31-9523-D878C9151B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L19:L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rofit" fld="8" baseField="0" baseItem="0" numFmtId="164"/>
  </dataFields>
  <formats count="6">
    <format dxfId="53">
      <pivotArea field="1" grandRow="1" outline="0" collapsedLevelsAreSubtotals="1">
        <references count="1">
          <reference field="4294967294" count="1" selected="0">
            <x v="0"/>
          </reference>
        </references>
      </pivotArea>
    </format>
    <format dxfId="52">
      <pivotArea outline="0" collapsedLevelsAreSubtotals="1" fieldPosition="0">
        <references count="1">
          <reference field="4294967294" count="1" selected="0">
            <x v="0"/>
          </reference>
        </references>
      </pivotArea>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dataOnly="0" labelOnly="1" outline="0" axis="axisValues" fieldPosition="0"/>
    </format>
  </formats>
  <chartFormats count="1">
    <chartFormat chart="1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867AB1-3F5A-4EAE-8F85-A67D9DE32E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location ref="J5:L13" firstHeaderRow="0" firstDataRow="1" firstDataCol="1"/>
  <pivotFields count="12">
    <pivotField axis="axisRow"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dataField="1" showAll="0"/>
    <pivotField dataField="1"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8">
    <i>
      <x v="1"/>
    </i>
    <i>
      <x v="2"/>
    </i>
    <i>
      <x v="3"/>
    </i>
    <i>
      <x v="4"/>
    </i>
    <i>
      <x v="5"/>
    </i>
    <i>
      <x v="6"/>
    </i>
    <i>
      <x v="7"/>
    </i>
    <i t="grand">
      <x/>
    </i>
  </rowItems>
  <colFields count="1">
    <field x="-2"/>
  </colFields>
  <colItems count="2">
    <i>
      <x/>
    </i>
    <i i="1">
      <x v="1"/>
    </i>
  </colItems>
  <dataFields count="2">
    <dataField name="Revenue " fld="7" baseField="0" baseItem="0"/>
    <dataField name="Profit" fld="8" baseField="0" baseItem="0" numFmtId="164"/>
  </dataFields>
  <formats count="10">
    <format dxfId="63">
      <pivotArea dataOnly="0" outline="0" fieldPosition="0">
        <references count="1">
          <reference field="4294967294" count="1">
            <x v="1"/>
          </reference>
        </references>
      </pivotArea>
    </format>
    <format dxfId="62">
      <pivotArea dataOnly="0" outline="0" fieldPosition="0">
        <references count="1">
          <reference field="4294967294" count="1">
            <x v="0"/>
          </reference>
        </references>
      </pivotArea>
    </format>
    <format dxfId="61">
      <pivotArea outline="0" collapsedLevelsAreSubtotals="1" fieldPosition="0">
        <references count="1">
          <reference field="4294967294" count="1" selected="0">
            <x v="1"/>
          </reference>
        </references>
      </pivotArea>
    </format>
    <format dxfId="60">
      <pivotArea dataOnly="0" labelOnly="1" outline="0" fieldPosition="0">
        <references count="1">
          <reference field="4294967294" count="1">
            <x v="1"/>
          </reference>
        </references>
      </pivotArea>
    </format>
    <format dxfId="59">
      <pivotArea type="all" dataOnly="0" outline="0" fieldPosition="0"/>
    </format>
    <format dxfId="58">
      <pivotArea outline="0" collapsedLevelsAreSubtotals="1" fieldPosition="0"/>
    </format>
    <format dxfId="57">
      <pivotArea field="11" type="button" dataOnly="0" labelOnly="1" outline="0" axis="axisRow" fieldPosition="0"/>
    </format>
    <format dxfId="56">
      <pivotArea dataOnly="0" labelOnly="1" fieldPosition="0">
        <references count="1">
          <reference field="11" count="7">
            <x v="1"/>
            <x v="2"/>
            <x v="3"/>
            <x v="4"/>
            <x v="5"/>
            <x v="6"/>
            <x v="7"/>
          </reference>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2">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028F9C-354D-4233-ACA4-F58A9ABC37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D5:G10"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dataField="1"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3">
    <i>
      <x/>
    </i>
    <i i="1">
      <x v="1"/>
    </i>
    <i i="2">
      <x v="2"/>
    </i>
  </colItems>
  <dataFields count="3">
    <dataField name="Profit" fld="8" baseField="0" baseItem="0" numFmtId="164"/>
    <dataField name="Revenue " fld="7" baseField="0" baseItem="0" numFmtId="5"/>
    <dataField name=" Units Sold" fld="4" baseField="0" baseItem="0"/>
  </dataFields>
  <formats count="12">
    <format dxfId="75">
      <pivotArea dataOnly="0" outline="0" fieldPosition="0">
        <references count="1">
          <reference field="4294967294" count="1">
            <x v="1"/>
          </reference>
        </references>
      </pivotArea>
    </format>
    <format dxfId="74">
      <pivotArea field="1" grandRow="1" outline="0" collapsedLevelsAreSubtotals="1" axis="axisRow" fieldPosition="0">
        <references count="1">
          <reference field="4294967294" count="1" selected="0">
            <x v="0"/>
          </reference>
        </references>
      </pivotArea>
    </format>
    <format dxfId="73">
      <pivotArea outline="0" collapsedLevelsAreSubtotals="1" fieldPosition="0">
        <references count="1">
          <reference field="4294967294" count="1" selected="0">
            <x v="1"/>
          </reference>
        </references>
      </pivotArea>
    </format>
    <format dxfId="72">
      <pivotArea dataOnly="0" labelOnly="1" outline="0" fieldPosition="0">
        <references count="1">
          <reference field="4294967294" count="1">
            <x v="1"/>
          </reference>
        </references>
      </pivotArea>
    </format>
    <format dxfId="71">
      <pivotArea outline="0" collapsedLevelsAreSubtotals="1" fieldPosition="0">
        <references count="1">
          <reference field="4294967294" count="1" selected="0">
            <x v="0"/>
          </reference>
        </references>
      </pivotArea>
    </format>
    <format dxfId="70">
      <pivotArea dataOnly="0" labelOnly="1" outline="0" fieldPosition="0">
        <references count="1">
          <reference field="4294967294" count="1">
            <x v="0"/>
          </reference>
        </references>
      </pivotArea>
    </format>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fieldPosition="0">
        <references count="1">
          <reference field="4294967294" count="3">
            <x v="0"/>
            <x v="1"/>
            <x v="2"/>
          </reference>
        </references>
      </pivotArea>
    </format>
  </formats>
  <chartFormats count="3">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768928-FA95-4DE7-B289-91AC40524D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D66:E71" firstHeaderRow="1"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Units Sold" fld="4" baseField="0" baseItem="0"/>
  </dataFields>
  <formats count="6">
    <format dxfId="81">
      <pivotArea type="all" dataOnly="0" outline="0" fieldPosition="0"/>
    </format>
    <format dxfId="80">
      <pivotArea outline="0" collapsedLevelsAreSubtotals="1" fieldPosition="0"/>
    </format>
    <format dxfId="79">
      <pivotArea field="1" type="button" dataOnly="0" labelOnly="1" outline="0" axis="axisRow" fieldPosition="0"/>
    </format>
    <format dxfId="78">
      <pivotArea dataOnly="0" labelOnly="1" fieldPosition="0">
        <references count="1">
          <reference field="1" count="0"/>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322902-6A4C-4151-A280-1BB5CA24D3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N19:N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Units Sold" fld="4" baseField="0" baseItem="0"/>
  </dataFields>
  <formats count="3">
    <format dxfId="84">
      <pivotArea type="all" dataOnly="0" outline="0" fieldPosition="0"/>
    </format>
    <format dxfId="83">
      <pivotArea outline="0" collapsedLevelsAreSubtotals="1" fieldPosition="0"/>
    </format>
    <format dxfId="82">
      <pivotArea dataOnly="0" labelOnly="1" outline="0" axis="axisValues" fieldPosition="0"/>
    </format>
  </formats>
  <chartFormats count="1">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EED910-5427-421E-AE77-5ED83FA56D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D55:E59" firstHeaderRow="1"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axis="axisRow" showAll="0">
      <items count="4">
        <item x="1"/>
        <item x="2"/>
        <item x="0"/>
        <item t="default"/>
      </items>
    </pivotField>
    <pivotField showAll="0">
      <items count="5">
        <item x="1"/>
        <item x="2"/>
        <item x="0"/>
        <item x="3"/>
        <item t="default"/>
      </items>
    </pivotField>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Profit Margin(%) " fld="9" baseField="0" baseItem="0"/>
  </dataFields>
  <formats count="6">
    <format dxfId="90">
      <pivotArea type="all" dataOnly="0" outline="0" fieldPosition="0"/>
    </format>
    <format dxfId="89">
      <pivotArea outline="0" collapsedLevelsAreSubtotals="1"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grandRow="1" outline="0" fieldPosition="0"/>
    </format>
    <format dxfId="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27213B-3F5E-453E-B5AF-EBCA6F4B17FB}" sourceName="Region">
  <pivotTables>
    <pivotTable tabId="2" name="PivotTable1"/>
    <pivotTable tabId="2" name="PivotTable11"/>
    <pivotTable tabId="2" name="PivotTable2"/>
    <pivotTable tabId="2" name="PivotTable3"/>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AED64E3-E012-4D94-A5DF-355B406DE75E}" sourceName="Product">
  <pivotTables>
    <pivotTable tabId="2" name="PivotTable1"/>
    <pivotTable tabId="2" name="PivotTable11"/>
    <pivotTable tabId="2" name="PivotTable2"/>
    <pivotTable tabId="2" name="PivotTable3"/>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98701FE-3DDC-4AEC-8593-38B13EE3CE61}" sourceName="Sales Rep">
  <pivotTables>
    <pivotTable tabId="2" name="PivotTable1"/>
    <pivotTable tabId="2" name="PivotTable11"/>
    <pivotTable tabId="2" name="PivotTable2"/>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C708994-81F6-47B9-B214-64609550BEAE}" sourceName="Date">
  <pivotTables>
    <pivotTable tabId="2" name="PivotTable1"/>
    <pivotTable tabId="2" name="PivotTable6"/>
    <pivotTable tabId="2" name="PivotTable11"/>
    <pivotTable tabId="2" name="PivotTable2"/>
    <pivotTable tabId="2" name="PivotTable3"/>
    <pivotTable tabId="2" name="PivotTable4"/>
    <pivotTable tabId="2" name="PivotTable5"/>
    <pivotTable tabId="2" name="PivotTable9"/>
    <pivotTable tabId="2" name="PivotTable7"/>
    <pivotTable tabId="2" name="PivotTable8"/>
    <pivotTable tabId="2" name="PivotTable10"/>
  </pivotTables>
  <data>
    <tabular pivotCacheId="1780726357">
      <items count="120">
        <i x="93" s="1"/>
        <i x="18" s="1"/>
        <i x="115" s="1"/>
        <i x="59" s="1"/>
        <i x="84" s="1"/>
        <i x="51" s="1"/>
        <i x="44" s="1"/>
        <i x="86" s="1"/>
        <i x="105" s="1"/>
        <i x="43" s="1"/>
        <i x="3" s="1"/>
        <i x="40" s="1"/>
        <i x="7" s="1"/>
        <i x="26" s="1"/>
        <i x="69" s="1"/>
        <i x="95" s="1"/>
        <i x="85" s="1"/>
        <i x="103" s="1"/>
        <i x="111" s="1"/>
        <i x="82" s="1"/>
        <i x="52" s="1"/>
        <i x="104" s="1"/>
        <i x="89" s="1"/>
        <i x="20" s="1"/>
        <i x="67" s="1"/>
        <i x="72" s="1"/>
        <i x="97" s="1"/>
        <i x="62" s="1"/>
        <i x="74" s="1"/>
        <i x="65" s="1"/>
        <i x="28" s="1"/>
        <i x="55" s="1"/>
        <i x="33" s="1"/>
        <i x="100" s="1"/>
        <i x="17" s="1"/>
        <i x="57" s="1"/>
        <i x="35" s="1"/>
        <i x="25" s="1"/>
        <i x="29" s="1"/>
        <i x="42" s="1"/>
        <i x="88" s="1"/>
        <i x="79" s="1"/>
        <i x="36" s="1"/>
        <i x="75" s="1"/>
        <i x="109" s="1"/>
        <i x="76" s="1"/>
        <i x="5" s="1"/>
        <i x="38" s="1"/>
        <i x="9" s="1"/>
        <i x="53" s="1"/>
        <i x="68" s="1"/>
        <i x="46" s="1"/>
        <i x="108" s="1"/>
        <i x="10" s="1"/>
        <i x="27" s="1"/>
        <i x="45" s="1"/>
        <i x="47" s="1"/>
        <i x="2" s="1"/>
        <i x="64" s="1"/>
        <i x="99" s="1"/>
        <i x="90" s="1"/>
        <i x="12" s="1"/>
        <i x="92" s="1"/>
        <i x="0" s="1"/>
        <i x="13" s="1"/>
        <i x="58" s="1"/>
        <i x="4" s="1"/>
        <i x="34" s="1"/>
        <i x="48" s="1"/>
        <i x="114" s="1"/>
        <i x="11" s="1"/>
        <i x="119" s="1"/>
        <i x="113" s="1"/>
        <i x="8" s="1"/>
        <i x="83" s="1"/>
        <i x="71" s="1"/>
        <i x="112" s="1"/>
        <i x="77" s="1"/>
        <i x="21" s="1"/>
        <i x="15" s="1"/>
        <i x="41" s="1"/>
        <i x="56" s="1"/>
        <i x="37" s="1"/>
        <i x="78" s="1"/>
        <i x="96" s="1"/>
        <i x="80" s="1"/>
        <i x="94" s="1"/>
        <i x="101" s="1"/>
        <i x="61" s="1"/>
        <i x="16" s="1"/>
        <i x="87" s="1"/>
        <i x="14" s="1"/>
        <i x="70" s="1"/>
        <i x="117" s="1"/>
        <i x="73" s="1"/>
        <i x="19" s="1"/>
        <i x="106" s="1"/>
        <i x="24" s="1"/>
        <i x="63" s="1"/>
        <i x="81" s="1"/>
        <i x="54" s="1"/>
        <i x="118" s="1"/>
        <i x="39" s="1"/>
        <i x="30" s="1"/>
        <i x="102" s="1"/>
        <i x="50" s="1"/>
        <i x="32" s="1"/>
        <i x="98" s="1"/>
        <i x="1" s="1"/>
        <i x="110" s="1"/>
        <i x="107" s="1"/>
        <i x="23" s="1"/>
        <i x="6" s="1"/>
        <i x="31" s="1"/>
        <i x="60" s="1"/>
        <i x="22" s="1"/>
        <i x="91" s="1"/>
        <i x="116" s="1"/>
        <i x="49" s="1"/>
        <i x="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A0AC04-6544-41EA-B48E-493E3D417AC5}" cache="Slicer_Region" caption="Region" rowHeight="234950"/>
  <slicer name="Product 1" xr10:uid="{BDD305DB-47CB-40CA-8410-CEEA29297324}" cache="Slicer_Product" caption="Product" rowHeight="234950"/>
  <slicer name="Sales Rep 1" xr10:uid="{A71E9C7C-6284-406D-8FB4-2C115C882385}" cache="Slicer_Sales_Rep" caption="Sales Rep" rowHeight="234950"/>
  <slicer name="Date 1" xr10:uid="{75FA367F-73B5-4B53-8899-F99B02D2A003}" cache="Slicer_Date" caption="Date" rowHeight="2349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3864"/>
      </a:dk2>
      <a:lt2>
        <a:srgbClr val="E7E6E6"/>
      </a:lt2>
      <a:accent1>
        <a:srgbClr val="8EAADB"/>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Segoe UI Semibold"/>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F7F1-BF70-49BC-8110-3243070B9E19}">
  <dimension ref="A1:L201"/>
  <sheetViews>
    <sheetView workbookViewId="0"/>
  </sheetViews>
  <sheetFormatPr defaultRowHeight="14.4" x14ac:dyDescent="0.3"/>
  <cols>
    <col min="3" max="3" width="13.88671875" customWidth="1"/>
    <col min="5" max="5" width="15.77734375" customWidth="1"/>
    <col min="6" max="6" width="13.88671875" customWidth="1"/>
    <col min="7" max="7" width="12.44140625" customWidth="1"/>
    <col min="8" max="9" width="10.109375" style="4" bestFit="1" customWidth="1"/>
    <col min="10" max="10" width="17.109375" style="4" customWidth="1"/>
    <col min="11" max="11" width="12.6640625" style="4" bestFit="1" customWidth="1"/>
    <col min="12" max="12" width="14.109375" customWidth="1"/>
  </cols>
  <sheetData>
    <row r="1" spans="1:12" x14ac:dyDescent="0.3">
      <c r="A1" s="3"/>
      <c r="C1" t="s">
        <v>0</v>
      </c>
      <c r="D1" t="s">
        <v>1</v>
      </c>
      <c r="E1" t="s">
        <v>2</v>
      </c>
      <c r="F1" t="s">
        <v>3</v>
      </c>
      <c r="G1" t="s">
        <v>4</v>
      </c>
      <c r="H1" s="4" t="s">
        <v>5</v>
      </c>
      <c r="I1" s="4" t="s">
        <v>6</v>
      </c>
      <c r="J1" s="4" t="s">
        <v>20</v>
      </c>
      <c r="K1" s="4" t="s">
        <v>21</v>
      </c>
      <c r="L1" t="s">
        <v>7</v>
      </c>
    </row>
    <row r="2" spans="1:12" x14ac:dyDescent="0.3">
      <c r="A2" s="3"/>
      <c r="C2" s="1">
        <v>45760</v>
      </c>
      <c r="D2" t="s">
        <v>8</v>
      </c>
      <c r="E2" t="s">
        <v>9</v>
      </c>
      <c r="F2" t="s">
        <v>10</v>
      </c>
      <c r="G2">
        <v>84</v>
      </c>
      <c r="H2" s="4">
        <v>3593</v>
      </c>
      <c r="I2" s="4">
        <v>2136</v>
      </c>
      <c r="J2" s="4">
        <v>301812</v>
      </c>
      <c r="K2" s="4">
        <v>122388</v>
      </c>
      <c r="L2" s="2">
        <v>0.41</v>
      </c>
    </row>
    <row r="3" spans="1:12" x14ac:dyDescent="0.3">
      <c r="A3" s="3"/>
      <c r="C3" s="1">
        <v>45837</v>
      </c>
      <c r="D3" t="s">
        <v>8</v>
      </c>
      <c r="E3" t="s">
        <v>9</v>
      </c>
      <c r="F3" t="s">
        <v>11</v>
      </c>
      <c r="G3">
        <v>89</v>
      </c>
      <c r="H3" s="4">
        <v>2968</v>
      </c>
      <c r="I3" s="4">
        <v>2876</v>
      </c>
      <c r="J3" s="4">
        <v>264152</v>
      </c>
      <c r="K3" s="4">
        <v>8188</v>
      </c>
      <c r="L3" s="2">
        <v>0.03</v>
      </c>
    </row>
    <row r="4" spans="1:12" x14ac:dyDescent="0.3">
      <c r="A4" s="3"/>
      <c r="C4" s="1">
        <v>45750</v>
      </c>
      <c r="D4" t="s">
        <v>8</v>
      </c>
      <c r="E4" t="s">
        <v>12</v>
      </c>
      <c r="F4" t="s">
        <v>13</v>
      </c>
      <c r="G4">
        <v>79</v>
      </c>
      <c r="H4" s="4">
        <v>2101</v>
      </c>
      <c r="I4" s="4">
        <v>2494</v>
      </c>
      <c r="J4" s="4">
        <v>165979</v>
      </c>
      <c r="K4" s="4">
        <v>-31047</v>
      </c>
      <c r="L4" s="2">
        <v>-0.19</v>
      </c>
    </row>
    <row r="5" spans="1:12" x14ac:dyDescent="0.3">
      <c r="A5" s="3"/>
      <c r="C5" s="1">
        <v>45672</v>
      </c>
      <c r="D5" t="s">
        <v>14</v>
      </c>
      <c r="E5" t="s">
        <v>12</v>
      </c>
      <c r="F5" t="s">
        <v>15</v>
      </c>
      <c r="G5">
        <v>40</v>
      </c>
      <c r="H5" s="4">
        <v>2753</v>
      </c>
      <c r="I5" s="4">
        <v>2443</v>
      </c>
      <c r="J5" s="4">
        <v>110120</v>
      </c>
      <c r="K5" s="4">
        <v>12400</v>
      </c>
      <c r="L5" s="2">
        <v>0.11</v>
      </c>
    </row>
    <row r="6" spans="1:12" x14ac:dyDescent="0.3">
      <c r="A6" s="3"/>
      <c r="C6" s="1">
        <v>45764</v>
      </c>
      <c r="D6" t="s">
        <v>8</v>
      </c>
      <c r="E6" t="s">
        <v>16</v>
      </c>
      <c r="F6" t="s">
        <v>11</v>
      </c>
      <c r="G6">
        <v>23</v>
      </c>
      <c r="H6" s="4">
        <v>2836</v>
      </c>
      <c r="I6" s="4">
        <v>2538</v>
      </c>
      <c r="J6" s="4">
        <v>65228</v>
      </c>
      <c r="K6" s="4">
        <v>6854</v>
      </c>
      <c r="L6" s="2">
        <v>0.11</v>
      </c>
    </row>
    <row r="7" spans="1:12" x14ac:dyDescent="0.3">
      <c r="A7" s="3"/>
      <c r="C7" s="1">
        <v>45729</v>
      </c>
      <c r="D7" t="s">
        <v>14</v>
      </c>
      <c r="E7" t="s">
        <v>12</v>
      </c>
      <c r="F7" t="s">
        <v>13</v>
      </c>
      <c r="G7">
        <v>24</v>
      </c>
      <c r="H7" s="4">
        <v>4994</v>
      </c>
      <c r="I7" s="4">
        <v>1618</v>
      </c>
      <c r="J7" s="4">
        <v>119856</v>
      </c>
      <c r="K7" s="4">
        <v>81024</v>
      </c>
      <c r="L7" s="2">
        <v>0.68</v>
      </c>
    </row>
    <row r="8" spans="1:12" x14ac:dyDescent="0.3">
      <c r="A8" s="3"/>
      <c r="C8" s="1">
        <v>45846</v>
      </c>
      <c r="D8" t="s">
        <v>17</v>
      </c>
      <c r="E8" t="s">
        <v>16</v>
      </c>
      <c r="F8" t="s">
        <v>13</v>
      </c>
      <c r="G8">
        <v>61</v>
      </c>
      <c r="H8" s="4">
        <v>4144</v>
      </c>
      <c r="I8" s="4">
        <v>2104</v>
      </c>
      <c r="J8" s="4">
        <v>252784</v>
      </c>
      <c r="K8" s="4">
        <v>124440</v>
      </c>
      <c r="L8" s="2">
        <v>0.49</v>
      </c>
    </row>
    <row r="9" spans="1:12" x14ac:dyDescent="0.3">
      <c r="A9" s="3"/>
      <c r="C9" s="1">
        <v>45678</v>
      </c>
      <c r="D9" t="s">
        <v>14</v>
      </c>
      <c r="E9" t="s">
        <v>12</v>
      </c>
      <c r="F9" t="s">
        <v>13</v>
      </c>
      <c r="G9">
        <v>22</v>
      </c>
      <c r="H9" s="4">
        <v>3841</v>
      </c>
      <c r="I9" s="4">
        <v>2865</v>
      </c>
      <c r="J9" s="4">
        <v>84502</v>
      </c>
      <c r="K9" s="4">
        <v>21472</v>
      </c>
      <c r="L9" s="2">
        <v>0.25</v>
      </c>
    </row>
    <row r="10" spans="1:12" x14ac:dyDescent="0.3">
      <c r="A10" s="3"/>
      <c r="C10" s="1">
        <v>45760</v>
      </c>
      <c r="D10" t="s">
        <v>17</v>
      </c>
      <c r="E10" t="s">
        <v>16</v>
      </c>
      <c r="F10" t="s">
        <v>13</v>
      </c>
      <c r="G10">
        <v>51</v>
      </c>
      <c r="H10" s="4">
        <v>3296</v>
      </c>
      <c r="I10" s="4">
        <v>735</v>
      </c>
      <c r="J10" s="4">
        <v>168096</v>
      </c>
      <c r="K10" s="4">
        <v>130611</v>
      </c>
      <c r="L10" s="2">
        <v>0.78</v>
      </c>
    </row>
    <row r="11" spans="1:12" x14ac:dyDescent="0.3">
      <c r="A11" s="3"/>
      <c r="C11" s="1">
        <v>45779</v>
      </c>
      <c r="D11" t="s">
        <v>8</v>
      </c>
      <c r="E11" t="s">
        <v>9</v>
      </c>
      <c r="F11" t="s">
        <v>13</v>
      </c>
      <c r="G11">
        <v>53</v>
      </c>
      <c r="H11" s="4">
        <v>3094</v>
      </c>
      <c r="I11" s="4">
        <v>2469</v>
      </c>
      <c r="J11" s="4">
        <v>163982</v>
      </c>
      <c r="K11" s="4">
        <v>33125</v>
      </c>
      <c r="L11" s="2">
        <v>0.2</v>
      </c>
    </row>
    <row r="12" spans="1:12" x14ac:dyDescent="0.3">
      <c r="A12" s="3"/>
      <c r="C12" s="1">
        <v>45732</v>
      </c>
      <c r="D12" t="s">
        <v>8</v>
      </c>
      <c r="E12" t="s">
        <v>12</v>
      </c>
      <c r="F12" t="s">
        <v>10</v>
      </c>
      <c r="G12">
        <v>18</v>
      </c>
      <c r="H12" s="4">
        <v>2144</v>
      </c>
      <c r="I12" s="4">
        <v>833</v>
      </c>
      <c r="J12" s="4">
        <v>38592</v>
      </c>
      <c r="K12" s="4">
        <v>23598</v>
      </c>
      <c r="L12" s="2">
        <v>0.61</v>
      </c>
    </row>
    <row r="13" spans="1:12" x14ac:dyDescent="0.3">
      <c r="A13" s="3"/>
      <c r="C13" s="1">
        <v>45745</v>
      </c>
      <c r="D13" t="s">
        <v>17</v>
      </c>
      <c r="E13" t="s">
        <v>12</v>
      </c>
      <c r="F13" t="s">
        <v>11</v>
      </c>
      <c r="G13">
        <v>19</v>
      </c>
      <c r="H13" s="4">
        <v>3261</v>
      </c>
      <c r="I13" s="4">
        <v>2408</v>
      </c>
      <c r="J13" s="4">
        <v>61959</v>
      </c>
      <c r="K13" s="4">
        <v>16207</v>
      </c>
      <c r="L13" s="2">
        <v>0.26</v>
      </c>
    </row>
    <row r="14" spans="1:12" x14ac:dyDescent="0.3">
      <c r="A14" s="3"/>
      <c r="C14" s="1">
        <v>45774</v>
      </c>
      <c r="D14" t="s">
        <v>18</v>
      </c>
      <c r="E14" t="s">
        <v>12</v>
      </c>
      <c r="F14" t="s">
        <v>10</v>
      </c>
      <c r="G14">
        <v>35</v>
      </c>
      <c r="H14" s="4">
        <v>3286</v>
      </c>
      <c r="I14" s="4">
        <v>875</v>
      </c>
      <c r="J14" s="4">
        <v>115010</v>
      </c>
      <c r="K14" s="4">
        <v>84385</v>
      </c>
      <c r="L14" s="2">
        <v>0.73</v>
      </c>
    </row>
    <row r="15" spans="1:12" x14ac:dyDescent="0.3">
      <c r="A15" s="3"/>
      <c r="C15" s="1">
        <v>45757</v>
      </c>
      <c r="D15" t="s">
        <v>17</v>
      </c>
      <c r="E15" t="s">
        <v>12</v>
      </c>
      <c r="F15" t="s">
        <v>15</v>
      </c>
      <c r="G15">
        <v>5</v>
      </c>
      <c r="H15" s="4">
        <v>2079</v>
      </c>
      <c r="I15" s="4">
        <v>1660</v>
      </c>
      <c r="J15" s="4">
        <v>10395</v>
      </c>
      <c r="K15" s="4">
        <v>2095</v>
      </c>
      <c r="L15" s="2">
        <v>0.2</v>
      </c>
    </row>
    <row r="16" spans="1:12" x14ac:dyDescent="0.3">
      <c r="A16" s="3"/>
      <c r="C16" s="1">
        <v>45761</v>
      </c>
      <c r="D16" t="s">
        <v>18</v>
      </c>
      <c r="E16" t="s">
        <v>16</v>
      </c>
      <c r="F16" t="s">
        <v>13</v>
      </c>
      <c r="G16">
        <v>58</v>
      </c>
      <c r="H16" s="4">
        <v>3397</v>
      </c>
      <c r="I16" s="4">
        <v>2070</v>
      </c>
      <c r="J16" s="4">
        <v>197026</v>
      </c>
      <c r="K16" s="4">
        <v>76966</v>
      </c>
      <c r="L16" s="2">
        <v>0.39</v>
      </c>
    </row>
    <row r="17" spans="1:12" x14ac:dyDescent="0.3">
      <c r="A17" s="3"/>
      <c r="C17" s="1">
        <v>45809</v>
      </c>
      <c r="D17" t="s">
        <v>14</v>
      </c>
      <c r="E17" t="s">
        <v>12</v>
      </c>
      <c r="F17" t="s">
        <v>11</v>
      </c>
      <c r="G17">
        <v>7</v>
      </c>
      <c r="H17" s="4">
        <v>1106</v>
      </c>
      <c r="I17" s="4">
        <v>1819</v>
      </c>
      <c r="J17" s="4">
        <v>7742</v>
      </c>
      <c r="K17" s="4">
        <v>-4991</v>
      </c>
      <c r="L17" s="2">
        <v>-0.64</v>
      </c>
    </row>
    <row r="18" spans="1:12" x14ac:dyDescent="0.3">
      <c r="A18" s="3"/>
      <c r="C18" s="1">
        <v>45788</v>
      </c>
      <c r="D18" t="s">
        <v>14</v>
      </c>
      <c r="E18" t="s">
        <v>9</v>
      </c>
      <c r="F18" t="s">
        <v>13</v>
      </c>
      <c r="G18">
        <v>20</v>
      </c>
      <c r="H18" s="4">
        <v>3878</v>
      </c>
      <c r="I18" s="4">
        <v>2355</v>
      </c>
      <c r="J18" s="4">
        <v>77560</v>
      </c>
      <c r="K18" s="4">
        <v>30460</v>
      </c>
      <c r="L18" s="2">
        <v>0.39</v>
      </c>
    </row>
    <row r="19" spans="1:12" x14ac:dyDescent="0.3">
      <c r="A19" s="3"/>
      <c r="C19" s="1">
        <v>45807</v>
      </c>
      <c r="D19" t="s">
        <v>14</v>
      </c>
      <c r="E19" t="s">
        <v>9</v>
      </c>
      <c r="F19" t="s">
        <v>11</v>
      </c>
      <c r="G19">
        <v>91</v>
      </c>
      <c r="H19" s="4">
        <v>1047</v>
      </c>
      <c r="I19" s="4">
        <v>1872</v>
      </c>
      <c r="J19" s="4">
        <v>95277</v>
      </c>
      <c r="K19" s="4">
        <v>-75075</v>
      </c>
      <c r="L19" s="2">
        <v>-0.79</v>
      </c>
    </row>
    <row r="20" spans="1:12" x14ac:dyDescent="0.3">
      <c r="A20" s="3"/>
      <c r="C20" s="1">
        <v>45710</v>
      </c>
      <c r="D20" t="s">
        <v>8</v>
      </c>
      <c r="E20" t="s">
        <v>12</v>
      </c>
      <c r="F20" t="s">
        <v>10</v>
      </c>
      <c r="G20">
        <v>61</v>
      </c>
      <c r="H20" s="4">
        <v>4644</v>
      </c>
      <c r="I20" s="4">
        <v>1372</v>
      </c>
      <c r="J20" s="4">
        <v>283284</v>
      </c>
      <c r="K20" s="4">
        <v>199592</v>
      </c>
      <c r="L20" s="2">
        <v>0.7</v>
      </c>
    </row>
    <row r="21" spans="1:12" x14ac:dyDescent="0.3">
      <c r="A21" s="3"/>
      <c r="C21" s="1">
        <v>45659</v>
      </c>
      <c r="D21" t="s">
        <v>14</v>
      </c>
      <c r="E21" t="s">
        <v>9</v>
      </c>
      <c r="F21" t="s">
        <v>11</v>
      </c>
      <c r="G21">
        <v>79</v>
      </c>
      <c r="H21" s="4">
        <v>1336</v>
      </c>
      <c r="I21" s="4">
        <v>1752</v>
      </c>
      <c r="J21" s="4">
        <v>105544</v>
      </c>
      <c r="K21" s="4">
        <v>-32864</v>
      </c>
      <c r="L21" s="2">
        <v>-0.31</v>
      </c>
    </row>
    <row r="22" spans="1:12" x14ac:dyDescent="0.3">
      <c r="A22" s="3"/>
      <c r="C22" s="1">
        <v>45745</v>
      </c>
      <c r="D22" t="s">
        <v>18</v>
      </c>
      <c r="E22" t="s">
        <v>12</v>
      </c>
      <c r="F22" t="s">
        <v>15</v>
      </c>
      <c r="G22">
        <v>16</v>
      </c>
      <c r="H22" s="4">
        <v>2049</v>
      </c>
      <c r="I22" s="4">
        <v>2817</v>
      </c>
      <c r="J22" s="4">
        <v>32784</v>
      </c>
      <c r="K22" s="4">
        <v>-12288</v>
      </c>
      <c r="L22" s="2">
        <v>-0.37</v>
      </c>
    </row>
    <row r="23" spans="1:12" x14ac:dyDescent="0.3">
      <c r="A23" s="3"/>
      <c r="C23" s="1">
        <v>45815</v>
      </c>
      <c r="D23" t="s">
        <v>14</v>
      </c>
      <c r="E23" t="s">
        <v>12</v>
      </c>
      <c r="F23" t="s">
        <v>15</v>
      </c>
      <c r="G23">
        <v>78</v>
      </c>
      <c r="H23" s="4">
        <v>3851</v>
      </c>
      <c r="I23" s="4">
        <v>2351</v>
      </c>
      <c r="J23" s="4">
        <v>300378</v>
      </c>
      <c r="K23" s="4">
        <v>117000</v>
      </c>
      <c r="L23" s="2">
        <v>0.39</v>
      </c>
    </row>
    <row r="24" spans="1:12" x14ac:dyDescent="0.3">
      <c r="A24" s="3"/>
      <c r="C24" s="1">
        <v>45695</v>
      </c>
      <c r="D24" t="s">
        <v>17</v>
      </c>
      <c r="E24" t="s">
        <v>9</v>
      </c>
      <c r="F24" t="s">
        <v>11</v>
      </c>
      <c r="G24">
        <v>20</v>
      </c>
      <c r="H24" s="4">
        <v>2280</v>
      </c>
      <c r="I24" s="4">
        <v>1814</v>
      </c>
      <c r="J24" s="4">
        <v>45600</v>
      </c>
      <c r="K24" s="4">
        <v>9320</v>
      </c>
      <c r="L24" s="2">
        <v>0.2</v>
      </c>
    </row>
    <row r="25" spans="1:12" x14ac:dyDescent="0.3">
      <c r="A25" s="3"/>
      <c r="C25" s="1">
        <v>45787</v>
      </c>
      <c r="D25" t="s">
        <v>17</v>
      </c>
      <c r="E25" t="s">
        <v>12</v>
      </c>
      <c r="F25" t="s">
        <v>11</v>
      </c>
      <c r="G25">
        <v>76</v>
      </c>
      <c r="H25" s="4">
        <v>3055</v>
      </c>
      <c r="I25" s="4">
        <v>1224</v>
      </c>
      <c r="J25" s="4">
        <v>232180</v>
      </c>
      <c r="K25" s="4">
        <v>139156</v>
      </c>
      <c r="L25" s="2">
        <v>0.6</v>
      </c>
    </row>
    <row r="26" spans="1:12" x14ac:dyDescent="0.3">
      <c r="A26" s="3"/>
      <c r="C26" s="1">
        <v>45849</v>
      </c>
      <c r="D26" t="s">
        <v>8</v>
      </c>
      <c r="E26" t="s">
        <v>9</v>
      </c>
      <c r="F26" t="s">
        <v>11</v>
      </c>
      <c r="G26">
        <v>80</v>
      </c>
      <c r="H26" s="4">
        <v>1624</v>
      </c>
      <c r="I26" s="4">
        <v>2552</v>
      </c>
      <c r="J26" s="4">
        <v>129920</v>
      </c>
      <c r="K26" s="4">
        <v>-74240</v>
      </c>
      <c r="L26" s="2">
        <v>-0.56999999999999995</v>
      </c>
    </row>
    <row r="27" spans="1:12" x14ac:dyDescent="0.3">
      <c r="A27" s="3"/>
      <c r="C27" s="1">
        <v>45845</v>
      </c>
      <c r="D27" t="s">
        <v>17</v>
      </c>
      <c r="E27" t="s">
        <v>16</v>
      </c>
      <c r="F27" t="s">
        <v>11</v>
      </c>
      <c r="G27">
        <v>28</v>
      </c>
      <c r="H27" s="4">
        <v>2890</v>
      </c>
      <c r="I27" s="4">
        <v>577</v>
      </c>
      <c r="J27" s="4">
        <v>80920</v>
      </c>
      <c r="K27" s="4">
        <v>64764</v>
      </c>
      <c r="L27" s="2">
        <v>0.8</v>
      </c>
    </row>
    <row r="28" spans="1:12" x14ac:dyDescent="0.3">
      <c r="A28" s="3"/>
      <c r="C28" s="1">
        <v>45678</v>
      </c>
      <c r="D28" t="s">
        <v>18</v>
      </c>
      <c r="E28" t="s">
        <v>12</v>
      </c>
      <c r="F28" t="s">
        <v>15</v>
      </c>
      <c r="G28">
        <v>32</v>
      </c>
      <c r="H28" s="4">
        <v>2276</v>
      </c>
      <c r="I28" s="4">
        <v>631</v>
      </c>
      <c r="J28" s="4">
        <v>72832</v>
      </c>
      <c r="K28" s="4">
        <v>52640</v>
      </c>
      <c r="L28" s="2">
        <v>0.72</v>
      </c>
    </row>
    <row r="29" spans="1:12" x14ac:dyDescent="0.3">
      <c r="A29" s="3"/>
      <c r="C29" s="1">
        <v>45818</v>
      </c>
      <c r="D29" t="s">
        <v>14</v>
      </c>
      <c r="E29" t="s">
        <v>16</v>
      </c>
      <c r="F29" t="s">
        <v>13</v>
      </c>
      <c r="G29">
        <v>12</v>
      </c>
      <c r="H29" s="4">
        <v>2715</v>
      </c>
      <c r="I29" s="4">
        <v>1100</v>
      </c>
      <c r="J29" s="4">
        <v>32580</v>
      </c>
      <c r="K29" s="4">
        <v>19380</v>
      </c>
      <c r="L29" s="2">
        <v>0.59</v>
      </c>
    </row>
    <row r="30" spans="1:12" x14ac:dyDescent="0.3">
      <c r="A30" s="3"/>
      <c r="C30" s="1">
        <v>45715</v>
      </c>
      <c r="D30" t="s">
        <v>8</v>
      </c>
      <c r="E30" t="s">
        <v>9</v>
      </c>
      <c r="F30" t="s">
        <v>11</v>
      </c>
      <c r="G30">
        <v>96</v>
      </c>
      <c r="H30" s="4">
        <v>3766</v>
      </c>
      <c r="I30" s="4">
        <v>2272</v>
      </c>
      <c r="J30" s="4">
        <v>361536</v>
      </c>
      <c r="K30" s="4">
        <v>143424</v>
      </c>
      <c r="L30" s="2">
        <v>0.4</v>
      </c>
    </row>
    <row r="31" spans="1:12" x14ac:dyDescent="0.3">
      <c r="A31" s="3"/>
      <c r="C31" s="1">
        <v>45679</v>
      </c>
      <c r="D31" t="s">
        <v>14</v>
      </c>
      <c r="E31" t="s">
        <v>16</v>
      </c>
      <c r="F31" t="s">
        <v>11</v>
      </c>
      <c r="G31">
        <v>40</v>
      </c>
      <c r="H31" s="4">
        <v>1302</v>
      </c>
      <c r="I31" s="4">
        <v>1565</v>
      </c>
      <c r="J31" s="4">
        <v>52080</v>
      </c>
      <c r="K31" s="4">
        <v>-10520</v>
      </c>
      <c r="L31" s="2">
        <v>-0.2</v>
      </c>
    </row>
    <row r="32" spans="1:12" x14ac:dyDescent="0.3">
      <c r="A32" s="3"/>
      <c r="C32" s="1">
        <v>45746</v>
      </c>
      <c r="D32" t="s">
        <v>14</v>
      </c>
      <c r="E32" t="s">
        <v>16</v>
      </c>
      <c r="F32" t="s">
        <v>15</v>
      </c>
      <c r="G32">
        <v>94</v>
      </c>
      <c r="H32" s="4">
        <v>1638</v>
      </c>
      <c r="I32" s="4">
        <v>2636</v>
      </c>
      <c r="J32" s="4">
        <v>153972</v>
      </c>
      <c r="K32" s="4">
        <v>-93812</v>
      </c>
      <c r="L32" s="2">
        <v>-0.61</v>
      </c>
    </row>
    <row r="33" spans="1:12" x14ac:dyDescent="0.3">
      <c r="A33" s="3"/>
      <c r="C33" s="1">
        <v>45706</v>
      </c>
      <c r="D33" t="s">
        <v>18</v>
      </c>
      <c r="E33" t="s">
        <v>9</v>
      </c>
      <c r="F33" t="s">
        <v>15</v>
      </c>
      <c r="G33">
        <v>12</v>
      </c>
      <c r="H33" s="4">
        <v>1055</v>
      </c>
      <c r="I33" s="4">
        <v>2949</v>
      </c>
      <c r="J33" s="4">
        <v>12660</v>
      </c>
      <c r="K33" s="4">
        <v>-22728</v>
      </c>
      <c r="L33" s="2">
        <v>-1.8</v>
      </c>
    </row>
    <row r="34" spans="1:12" x14ac:dyDescent="0.3">
      <c r="A34" s="3"/>
      <c r="C34" s="1">
        <v>45716</v>
      </c>
      <c r="D34" t="s">
        <v>17</v>
      </c>
      <c r="E34" t="s">
        <v>16</v>
      </c>
      <c r="F34" t="s">
        <v>10</v>
      </c>
      <c r="G34">
        <v>62</v>
      </c>
      <c r="H34" s="4">
        <v>1725</v>
      </c>
      <c r="I34" s="4">
        <v>2843</v>
      </c>
      <c r="J34" s="4">
        <v>106950</v>
      </c>
      <c r="K34" s="4">
        <v>-69316</v>
      </c>
      <c r="L34" s="2">
        <v>-0.65</v>
      </c>
    </row>
    <row r="35" spans="1:12" x14ac:dyDescent="0.3">
      <c r="A35" s="3"/>
      <c r="C35" s="1">
        <v>45827</v>
      </c>
      <c r="D35" t="s">
        <v>17</v>
      </c>
      <c r="E35" t="s">
        <v>16</v>
      </c>
      <c r="F35" t="s">
        <v>11</v>
      </c>
      <c r="G35">
        <v>64</v>
      </c>
      <c r="H35" s="4">
        <v>1525</v>
      </c>
      <c r="I35" s="4">
        <v>2363</v>
      </c>
      <c r="J35" s="4">
        <v>97600</v>
      </c>
      <c r="K35" s="4">
        <v>-53632</v>
      </c>
      <c r="L35" s="2">
        <v>-0.55000000000000004</v>
      </c>
    </row>
    <row r="36" spans="1:12" x14ac:dyDescent="0.3">
      <c r="A36" s="3"/>
      <c r="C36" s="1">
        <v>45845</v>
      </c>
      <c r="D36" t="s">
        <v>14</v>
      </c>
      <c r="E36" t="s">
        <v>9</v>
      </c>
      <c r="F36" t="s">
        <v>10</v>
      </c>
      <c r="G36">
        <v>54</v>
      </c>
      <c r="H36" s="4">
        <v>1473</v>
      </c>
      <c r="I36" s="4">
        <v>1818</v>
      </c>
      <c r="J36" s="4">
        <v>79542</v>
      </c>
      <c r="K36" s="4">
        <v>-18630</v>
      </c>
      <c r="L36" s="2">
        <v>-0.23</v>
      </c>
    </row>
    <row r="37" spans="1:12" x14ac:dyDescent="0.3">
      <c r="A37" s="3"/>
      <c r="C37" s="1">
        <v>45672</v>
      </c>
      <c r="D37" t="s">
        <v>8</v>
      </c>
      <c r="E37" t="s">
        <v>16</v>
      </c>
      <c r="F37" t="s">
        <v>15</v>
      </c>
      <c r="G37">
        <v>32</v>
      </c>
      <c r="H37" s="4">
        <v>1027</v>
      </c>
      <c r="I37" s="4">
        <v>1115</v>
      </c>
      <c r="J37" s="4">
        <v>32864</v>
      </c>
      <c r="K37" s="4">
        <v>-2816</v>
      </c>
      <c r="L37" s="2">
        <v>-0.09</v>
      </c>
    </row>
    <row r="38" spans="1:12" x14ac:dyDescent="0.3">
      <c r="A38" s="3"/>
      <c r="C38" s="1">
        <v>45847</v>
      </c>
      <c r="D38" t="s">
        <v>17</v>
      </c>
      <c r="E38" t="s">
        <v>9</v>
      </c>
      <c r="F38" t="s">
        <v>15</v>
      </c>
      <c r="G38">
        <v>96</v>
      </c>
      <c r="H38" s="4">
        <v>3125</v>
      </c>
      <c r="I38" s="4">
        <v>2969</v>
      </c>
      <c r="J38" s="4">
        <v>300000</v>
      </c>
      <c r="K38" s="4">
        <v>14976</v>
      </c>
      <c r="L38" s="2">
        <v>0.05</v>
      </c>
    </row>
    <row r="39" spans="1:12" x14ac:dyDescent="0.3">
      <c r="A39" s="3"/>
      <c r="C39" s="1">
        <v>45847</v>
      </c>
      <c r="D39" t="s">
        <v>8</v>
      </c>
      <c r="E39" t="s">
        <v>16</v>
      </c>
      <c r="F39" t="s">
        <v>13</v>
      </c>
      <c r="G39">
        <v>45</v>
      </c>
      <c r="H39" s="4">
        <v>4287</v>
      </c>
      <c r="I39" s="4">
        <v>2388</v>
      </c>
      <c r="J39" s="4">
        <v>192915</v>
      </c>
      <c r="K39" s="4">
        <v>85455</v>
      </c>
      <c r="L39" s="2">
        <v>0.44</v>
      </c>
    </row>
    <row r="40" spans="1:12" x14ac:dyDescent="0.3">
      <c r="A40" s="3"/>
      <c r="C40" s="1">
        <v>45832</v>
      </c>
      <c r="D40" t="s">
        <v>17</v>
      </c>
      <c r="E40" t="s">
        <v>9</v>
      </c>
      <c r="F40" t="s">
        <v>11</v>
      </c>
      <c r="G40">
        <v>68</v>
      </c>
      <c r="H40" s="4">
        <v>4457</v>
      </c>
      <c r="I40" s="4">
        <v>1546</v>
      </c>
      <c r="J40" s="4">
        <v>303076</v>
      </c>
      <c r="K40" s="4">
        <v>197948</v>
      </c>
      <c r="L40" s="2">
        <v>0.65</v>
      </c>
    </row>
    <row r="41" spans="1:12" x14ac:dyDescent="0.3">
      <c r="A41" s="3"/>
      <c r="C41" s="1">
        <v>45847</v>
      </c>
      <c r="D41" t="s">
        <v>8</v>
      </c>
      <c r="E41" t="s">
        <v>9</v>
      </c>
      <c r="F41" t="s">
        <v>10</v>
      </c>
      <c r="G41">
        <v>31</v>
      </c>
      <c r="H41" s="4">
        <v>1364</v>
      </c>
      <c r="I41" s="4">
        <v>1074</v>
      </c>
      <c r="J41" s="4">
        <v>42284</v>
      </c>
      <c r="K41" s="4">
        <v>8990</v>
      </c>
      <c r="L41" s="2">
        <v>0.21</v>
      </c>
    </row>
    <row r="42" spans="1:12" x14ac:dyDescent="0.3">
      <c r="A42" s="3"/>
      <c r="C42" s="1">
        <v>45708</v>
      </c>
      <c r="D42" t="s">
        <v>18</v>
      </c>
      <c r="E42" t="s">
        <v>16</v>
      </c>
      <c r="F42" t="s">
        <v>15</v>
      </c>
      <c r="G42">
        <v>67</v>
      </c>
      <c r="H42" s="4">
        <v>3713</v>
      </c>
      <c r="I42" s="4">
        <v>2690</v>
      </c>
      <c r="J42" s="4">
        <v>248771</v>
      </c>
      <c r="K42" s="4">
        <v>68541</v>
      </c>
      <c r="L42" s="2">
        <v>0.28000000000000003</v>
      </c>
    </row>
    <row r="43" spans="1:12" x14ac:dyDescent="0.3">
      <c r="A43" s="3"/>
      <c r="C43" s="1">
        <v>45765</v>
      </c>
      <c r="D43" t="s">
        <v>8</v>
      </c>
      <c r="E43" t="s">
        <v>16</v>
      </c>
      <c r="F43" t="s">
        <v>15</v>
      </c>
      <c r="G43">
        <v>21</v>
      </c>
      <c r="H43" s="4">
        <v>1525</v>
      </c>
      <c r="I43" s="4">
        <v>1492</v>
      </c>
      <c r="J43" s="4">
        <v>32025</v>
      </c>
      <c r="K43" s="4">
        <v>693</v>
      </c>
      <c r="L43" s="2">
        <v>0.02</v>
      </c>
    </row>
    <row r="44" spans="1:12" x14ac:dyDescent="0.3">
      <c r="A44" s="3"/>
      <c r="C44" s="1">
        <v>45712</v>
      </c>
      <c r="D44" t="s">
        <v>18</v>
      </c>
      <c r="E44" t="s">
        <v>16</v>
      </c>
      <c r="F44" t="s">
        <v>10</v>
      </c>
      <c r="G44">
        <v>77</v>
      </c>
      <c r="H44" s="4">
        <v>3746</v>
      </c>
      <c r="I44" s="4">
        <v>2692</v>
      </c>
      <c r="J44" s="4">
        <v>288442</v>
      </c>
      <c r="K44" s="4">
        <v>81158</v>
      </c>
      <c r="L44" s="2">
        <v>0.28000000000000003</v>
      </c>
    </row>
    <row r="45" spans="1:12" x14ac:dyDescent="0.3">
      <c r="A45" s="3"/>
      <c r="C45" s="1">
        <v>45721</v>
      </c>
      <c r="D45" t="s">
        <v>18</v>
      </c>
      <c r="E45" t="s">
        <v>12</v>
      </c>
      <c r="F45" t="s">
        <v>13</v>
      </c>
      <c r="G45">
        <v>37</v>
      </c>
      <c r="H45" s="4">
        <v>2335</v>
      </c>
      <c r="I45" s="4">
        <v>1748</v>
      </c>
      <c r="J45" s="4">
        <v>86395</v>
      </c>
      <c r="K45" s="4">
        <v>21719</v>
      </c>
      <c r="L45" s="2">
        <v>0.25</v>
      </c>
    </row>
    <row r="46" spans="1:12" x14ac:dyDescent="0.3">
      <c r="A46" s="3"/>
      <c r="C46" s="1">
        <v>45788</v>
      </c>
      <c r="D46" t="s">
        <v>8</v>
      </c>
      <c r="E46" t="s">
        <v>12</v>
      </c>
      <c r="F46" t="s">
        <v>15</v>
      </c>
      <c r="G46">
        <v>88</v>
      </c>
      <c r="H46" s="4">
        <v>1882</v>
      </c>
      <c r="I46" s="4">
        <v>1002</v>
      </c>
      <c r="J46" s="4">
        <v>165616</v>
      </c>
      <c r="K46" s="4">
        <v>77440</v>
      </c>
      <c r="L46" s="2">
        <v>0.47</v>
      </c>
    </row>
    <row r="47" spans="1:12" x14ac:dyDescent="0.3">
      <c r="A47" s="3"/>
      <c r="C47" s="1">
        <v>45708</v>
      </c>
      <c r="D47" t="s">
        <v>18</v>
      </c>
      <c r="E47" t="s">
        <v>12</v>
      </c>
      <c r="F47" t="s">
        <v>11</v>
      </c>
      <c r="G47">
        <v>81</v>
      </c>
      <c r="H47" s="4">
        <v>2030</v>
      </c>
      <c r="I47" s="4">
        <v>2497</v>
      </c>
      <c r="J47" s="4">
        <v>164430</v>
      </c>
      <c r="K47" s="4">
        <v>-37827</v>
      </c>
      <c r="L47" s="2">
        <v>-0.23</v>
      </c>
    </row>
    <row r="48" spans="1:12" x14ac:dyDescent="0.3">
      <c r="A48" s="3"/>
      <c r="C48" s="1">
        <v>45792</v>
      </c>
      <c r="D48" t="s">
        <v>14</v>
      </c>
      <c r="E48" t="s">
        <v>9</v>
      </c>
      <c r="F48" t="s">
        <v>15</v>
      </c>
      <c r="G48">
        <v>96</v>
      </c>
      <c r="H48" s="4">
        <v>2026</v>
      </c>
      <c r="I48" s="4">
        <v>1320</v>
      </c>
      <c r="J48" s="4">
        <v>194496</v>
      </c>
      <c r="K48" s="4">
        <v>67776</v>
      </c>
      <c r="L48" s="2">
        <v>0.35</v>
      </c>
    </row>
    <row r="49" spans="1:12" x14ac:dyDescent="0.3">
      <c r="A49" s="3"/>
      <c r="C49" s="1">
        <v>45678</v>
      </c>
      <c r="D49" t="s">
        <v>18</v>
      </c>
      <c r="E49" t="s">
        <v>16</v>
      </c>
      <c r="F49" t="s">
        <v>11</v>
      </c>
      <c r="G49">
        <v>33</v>
      </c>
      <c r="H49" s="4">
        <v>2646</v>
      </c>
      <c r="I49" s="4">
        <v>2651</v>
      </c>
      <c r="J49" s="4">
        <v>87318</v>
      </c>
      <c r="K49" s="4">
        <v>-165</v>
      </c>
      <c r="L49" s="2">
        <v>0</v>
      </c>
    </row>
    <row r="50" spans="1:12" x14ac:dyDescent="0.3">
      <c r="A50" s="3"/>
      <c r="C50" s="1">
        <v>45730</v>
      </c>
      <c r="D50" t="s">
        <v>17</v>
      </c>
      <c r="E50" t="s">
        <v>9</v>
      </c>
      <c r="F50" t="s">
        <v>10</v>
      </c>
      <c r="G50">
        <v>17</v>
      </c>
      <c r="H50" s="4">
        <v>1918</v>
      </c>
      <c r="I50" s="4">
        <v>2470</v>
      </c>
      <c r="J50" s="4">
        <v>32606</v>
      </c>
      <c r="K50" s="4">
        <v>-9384</v>
      </c>
      <c r="L50" s="2">
        <v>-0.28999999999999998</v>
      </c>
    </row>
    <row r="51" spans="1:12" x14ac:dyDescent="0.3">
      <c r="A51" s="3"/>
      <c r="C51" s="1">
        <v>45824</v>
      </c>
      <c r="D51" t="s">
        <v>8</v>
      </c>
      <c r="E51" t="s">
        <v>12</v>
      </c>
      <c r="F51" t="s">
        <v>11</v>
      </c>
      <c r="G51">
        <v>50</v>
      </c>
      <c r="H51" s="4">
        <v>3797</v>
      </c>
      <c r="I51" s="4">
        <v>697</v>
      </c>
      <c r="J51" s="4">
        <v>189850</v>
      </c>
      <c r="K51" s="4">
        <v>155000</v>
      </c>
      <c r="L51" s="2">
        <v>0.82</v>
      </c>
    </row>
    <row r="52" spans="1:12" x14ac:dyDescent="0.3">
      <c r="A52" s="3"/>
      <c r="C52" s="1">
        <v>45675</v>
      </c>
      <c r="D52" t="s">
        <v>14</v>
      </c>
      <c r="E52" t="s">
        <v>16</v>
      </c>
      <c r="F52" t="s">
        <v>10</v>
      </c>
      <c r="G52">
        <v>39</v>
      </c>
      <c r="H52" s="4">
        <v>3410</v>
      </c>
      <c r="I52" s="4">
        <v>2169</v>
      </c>
      <c r="J52" s="4">
        <v>132990</v>
      </c>
      <c r="K52" s="4">
        <v>48399</v>
      </c>
      <c r="L52" s="2">
        <v>0.36</v>
      </c>
    </row>
    <row r="53" spans="1:12" x14ac:dyDescent="0.3">
      <c r="A53" s="3"/>
      <c r="C53" s="1">
        <v>45789</v>
      </c>
      <c r="D53" t="s">
        <v>8</v>
      </c>
      <c r="E53" t="s">
        <v>9</v>
      </c>
      <c r="F53" t="s">
        <v>11</v>
      </c>
      <c r="G53">
        <v>10</v>
      </c>
      <c r="H53" s="4">
        <v>2774</v>
      </c>
      <c r="I53" s="4">
        <v>2938</v>
      </c>
      <c r="J53" s="4">
        <v>27740</v>
      </c>
      <c r="K53" s="4">
        <v>-1640</v>
      </c>
      <c r="L53" s="2">
        <v>-0.06</v>
      </c>
    </row>
    <row r="54" spans="1:12" x14ac:dyDescent="0.3">
      <c r="A54" s="3"/>
      <c r="C54" s="1">
        <v>45746</v>
      </c>
      <c r="D54" t="s">
        <v>17</v>
      </c>
      <c r="E54" t="s">
        <v>16</v>
      </c>
      <c r="F54" t="s">
        <v>10</v>
      </c>
      <c r="G54">
        <v>86</v>
      </c>
      <c r="H54" s="4">
        <v>2531</v>
      </c>
      <c r="I54" s="4">
        <v>1702</v>
      </c>
      <c r="J54" s="4">
        <v>217666</v>
      </c>
      <c r="K54" s="4">
        <v>71294</v>
      </c>
      <c r="L54" s="2">
        <v>0.33</v>
      </c>
    </row>
    <row r="55" spans="1:12" x14ac:dyDescent="0.3">
      <c r="A55" s="3"/>
      <c r="C55" s="1">
        <v>45717</v>
      </c>
      <c r="D55" t="s">
        <v>17</v>
      </c>
      <c r="E55" t="s">
        <v>9</v>
      </c>
      <c r="F55" t="s">
        <v>11</v>
      </c>
      <c r="G55">
        <v>73</v>
      </c>
      <c r="H55" s="4">
        <v>4345</v>
      </c>
      <c r="I55" s="4">
        <v>1971</v>
      </c>
      <c r="J55" s="4">
        <v>317185</v>
      </c>
      <c r="K55" s="4">
        <v>173302</v>
      </c>
      <c r="L55" s="2">
        <v>0.55000000000000004</v>
      </c>
    </row>
    <row r="56" spans="1:12" x14ac:dyDescent="0.3">
      <c r="A56" s="3"/>
      <c r="C56" s="1">
        <v>45671</v>
      </c>
      <c r="D56" t="s">
        <v>17</v>
      </c>
      <c r="E56" t="s">
        <v>16</v>
      </c>
      <c r="F56" t="s">
        <v>13</v>
      </c>
      <c r="G56">
        <v>51</v>
      </c>
      <c r="H56" s="4">
        <v>4577</v>
      </c>
      <c r="I56" s="4">
        <v>2146</v>
      </c>
      <c r="J56" s="4">
        <v>233427</v>
      </c>
      <c r="K56" s="4">
        <v>123981</v>
      </c>
      <c r="L56" s="2">
        <v>0.53</v>
      </c>
    </row>
    <row r="57" spans="1:12" x14ac:dyDescent="0.3">
      <c r="A57" s="3"/>
      <c r="C57" s="1">
        <v>45666</v>
      </c>
      <c r="D57" t="s">
        <v>18</v>
      </c>
      <c r="E57" t="s">
        <v>12</v>
      </c>
      <c r="F57" t="s">
        <v>11</v>
      </c>
      <c r="G57">
        <v>29</v>
      </c>
      <c r="H57" s="4">
        <v>3853</v>
      </c>
      <c r="I57" s="4">
        <v>2192</v>
      </c>
      <c r="J57" s="4">
        <v>111737</v>
      </c>
      <c r="K57" s="4">
        <v>48169</v>
      </c>
      <c r="L57" s="2">
        <v>0.43</v>
      </c>
    </row>
    <row r="58" spans="1:12" x14ac:dyDescent="0.3">
      <c r="A58" s="3"/>
      <c r="C58" s="1">
        <v>45747</v>
      </c>
      <c r="D58" t="s">
        <v>18</v>
      </c>
      <c r="E58" t="s">
        <v>12</v>
      </c>
      <c r="F58" t="s">
        <v>11</v>
      </c>
      <c r="G58">
        <v>70</v>
      </c>
      <c r="H58" s="4">
        <v>3786</v>
      </c>
      <c r="I58" s="4">
        <v>1812</v>
      </c>
      <c r="J58" s="4">
        <v>265020</v>
      </c>
      <c r="K58" s="4">
        <v>138180</v>
      </c>
      <c r="L58" s="2">
        <v>0.52</v>
      </c>
    </row>
    <row r="59" spans="1:12" x14ac:dyDescent="0.3">
      <c r="A59" s="3"/>
      <c r="C59" s="1">
        <v>45710</v>
      </c>
      <c r="D59" t="s">
        <v>8</v>
      </c>
      <c r="E59" t="s">
        <v>16</v>
      </c>
      <c r="F59" t="s">
        <v>13</v>
      </c>
      <c r="G59">
        <v>14</v>
      </c>
      <c r="H59" s="4">
        <v>2906</v>
      </c>
      <c r="I59" s="4">
        <v>2535</v>
      </c>
      <c r="J59" s="4">
        <v>40684</v>
      </c>
      <c r="K59" s="4">
        <v>5194</v>
      </c>
      <c r="L59" s="2">
        <v>0.13</v>
      </c>
    </row>
    <row r="60" spans="1:12" x14ac:dyDescent="0.3">
      <c r="A60" s="3"/>
      <c r="C60" s="1">
        <v>45787</v>
      </c>
      <c r="D60" t="s">
        <v>8</v>
      </c>
      <c r="E60" t="s">
        <v>9</v>
      </c>
      <c r="F60" t="s">
        <v>15</v>
      </c>
      <c r="G60">
        <v>60</v>
      </c>
      <c r="H60" s="4">
        <v>4086</v>
      </c>
      <c r="I60" s="4">
        <v>977</v>
      </c>
      <c r="J60" s="4">
        <v>245160</v>
      </c>
      <c r="K60" s="4">
        <v>186540</v>
      </c>
      <c r="L60" s="2">
        <v>0.76</v>
      </c>
    </row>
    <row r="61" spans="1:12" x14ac:dyDescent="0.3">
      <c r="C61" s="1">
        <v>45741</v>
      </c>
      <c r="D61" t="s">
        <v>14</v>
      </c>
      <c r="E61" t="s">
        <v>12</v>
      </c>
      <c r="F61" t="s">
        <v>15</v>
      </c>
      <c r="G61">
        <v>34</v>
      </c>
      <c r="H61" s="4">
        <v>2215</v>
      </c>
      <c r="I61" s="4">
        <v>1754</v>
      </c>
      <c r="J61" s="4">
        <v>75310</v>
      </c>
      <c r="K61" s="4">
        <v>15674</v>
      </c>
      <c r="L61" s="2">
        <v>0.21</v>
      </c>
    </row>
    <row r="62" spans="1:12" x14ac:dyDescent="0.3">
      <c r="C62" s="1">
        <v>45749</v>
      </c>
      <c r="D62" t="s">
        <v>14</v>
      </c>
      <c r="E62" t="s">
        <v>12</v>
      </c>
      <c r="F62" t="s">
        <v>11</v>
      </c>
      <c r="G62">
        <v>9</v>
      </c>
      <c r="H62" s="4">
        <v>2654</v>
      </c>
      <c r="I62" s="4">
        <v>1422</v>
      </c>
      <c r="J62" s="4">
        <v>23886</v>
      </c>
      <c r="K62" s="4">
        <v>11088</v>
      </c>
      <c r="L62" s="2">
        <v>0.46</v>
      </c>
    </row>
    <row r="63" spans="1:12" x14ac:dyDescent="0.3">
      <c r="C63" s="1">
        <v>45768</v>
      </c>
      <c r="D63" t="s">
        <v>8</v>
      </c>
      <c r="E63" t="s">
        <v>12</v>
      </c>
      <c r="F63" t="s">
        <v>13</v>
      </c>
      <c r="G63">
        <v>37</v>
      </c>
      <c r="H63" s="4">
        <v>1484</v>
      </c>
      <c r="I63" s="4">
        <v>919</v>
      </c>
      <c r="J63" s="4">
        <v>54908</v>
      </c>
      <c r="K63" s="4">
        <v>20905</v>
      </c>
      <c r="L63" s="2">
        <v>0.38</v>
      </c>
    </row>
    <row r="64" spans="1:12" x14ac:dyDescent="0.3">
      <c r="C64" s="1">
        <v>45845</v>
      </c>
      <c r="D64" t="s">
        <v>18</v>
      </c>
      <c r="E64" t="s">
        <v>16</v>
      </c>
      <c r="F64" t="s">
        <v>11</v>
      </c>
      <c r="G64">
        <v>69</v>
      </c>
      <c r="H64" s="4">
        <v>3075</v>
      </c>
      <c r="I64" s="4">
        <v>2704</v>
      </c>
      <c r="J64" s="4">
        <v>212175</v>
      </c>
      <c r="K64" s="4">
        <v>25599</v>
      </c>
      <c r="L64" s="2">
        <v>0.12</v>
      </c>
    </row>
    <row r="65" spans="3:12" x14ac:dyDescent="0.3">
      <c r="C65" s="1">
        <v>45856</v>
      </c>
      <c r="D65" t="s">
        <v>17</v>
      </c>
      <c r="E65" t="s">
        <v>16</v>
      </c>
      <c r="F65" t="s">
        <v>10</v>
      </c>
      <c r="G65">
        <v>22</v>
      </c>
      <c r="H65" s="4">
        <v>1713</v>
      </c>
      <c r="I65" s="4">
        <v>1620</v>
      </c>
      <c r="J65" s="4">
        <v>37686</v>
      </c>
      <c r="K65" s="4">
        <v>2046</v>
      </c>
      <c r="L65" s="2">
        <v>0.05</v>
      </c>
    </row>
    <row r="66" spans="3:12" x14ac:dyDescent="0.3">
      <c r="C66" s="1">
        <v>45829</v>
      </c>
      <c r="D66" t="s">
        <v>8</v>
      </c>
      <c r="E66" t="s">
        <v>9</v>
      </c>
      <c r="F66" t="s">
        <v>10</v>
      </c>
      <c r="G66">
        <v>53</v>
      </c>
      <c r="H66" s="4">
        <v>2062</v>
      </c>
      <c r="I66" s="4">
        <v>1450</v>
      </c>
      <c r="J66" s="4">
        <v>109286</v>
      </c>
      <c r="K66" s="4">
        <v>32436</v>
      </c>
      <c r="L66" s="2">
        <v>0.3</v>
      </c>
    </row>
    <row r="67" spans="3:12" x14ac:dyDescent="0.3">
      <c r="C67" s="1">
        <v>45665</v>
      </c>
      <c r="D67" t="s">
        <v>14</v>
      </c>
      <c r="E67" t="s">
        <v>9</v>
      </c>
      <c r="F67" t="s">
        <v>11</v>
      </c>
      <c r="G67">
        <v>15</v>
      </c>
      <c r="H67" s="4">
        <v>2976</v>
      </c>
      <c r="I67" s="4">
        <v>2836</v>
      </c>
      <c r="J67" s="4">
        <v>44640</v>
      </c>
      <c r="K67" s="4">
        <v>2100</v>
      </c>
      <c r="L67" s="2">
        <v>0.05</v>
      </c>
    </row>
    <row r="68" spans="3:12" x14ac:dyDescent="0.3">
      <c r="C68" s="1">
        <v>45832</v>
      </c>
      <c r="D68" t="s">
        <v>18</v>
      </c>
      <c r="E68" t="s">
        <v>9</v>
      </c>
      <c r="F68" t="s">
        <v>15</v>
      </c>
      <c r="G68">
        <v>89</v>
      </c>
      <c r="H68" s="4">
        <v>2296</v>
      </c>
      <c r="I68" s="4">
        <v>1777</v>
      </c>
      <c r="J68" s="4">
        <v>204344</v>
      </c>
      <c r="K68" s="4">
        <v>46191</v>
      </c>
      <c r="L68" s="2">
        <v>0.23</v>
      </c>
    </row>
    <row r="69" spans="3:12" x14ac:dyDescent="0.3">
      <c r="C69" s="1">
        <v>45692</v>
      </c>
      <c r="D69" t="s">
        <v>8</v>
      </c>
      <c r="E69" t="s">
        <v>16</v>
      </c>
      <c r="F69" t="s">
        <v>15</v>
      </c>
      <c r="G69">
        <v>30</v>
      </c>
      <c r="H69" s="4">
        <v>2254</v>
      </c>
      <c r="I69" s="4">
        <v>2743</v>
      </c>
      <c r="J69" s="4">
        <v>67620</v>
      </c>
      <c r="K69" s="4">
        <v>-14670</v>
      </c>
      <c r="L69" s="2">
        <v>-0.22</v>
      </c>
    </row>
    <row r="70" spans="3:12" x14ac:dyDescent="0.3">
      <c r="C70" s="1">
        <v>45738</v>
      </c>
      <c r="D70" t="s">
        <v>8</v>
      </c>
      <c r="E70" t="s">
        <v>16</v>
      </c>
      <c r="F70" t="s">
        <v>11</v>
      </c>
      <c r="G70">
        <v>67</v>
      </c>
      <c r="H70" s="4">
        <v>3133</v>
      </c>
      <c r="I70" s="4">
        <v>2357</v>
      </c>
      <c r="J70" s="4">
        <v>209911</v>
      </c>
      <c r="K70" s="4">
        <v>51992</v>
      </c>
      <c r="L70" s="2">
        <v>0.25</v>
      </c>
    </row>
    <row r="71" spans="3:12" x14ac:dyDescent="0.3">
      <c r="C71" s="1">
        <v>45821</v>
      </c>
      <c r="D71" t="s">
        <v>18</v>
      </c>
      <c r="E71" t="s">
        <v>9</v>
      </c>
      <c r="F71" t="s">
        <v>11</v>
      </c>
      <c r="G71">
        <v>93</v>
      </c>
      <c r="H71" s="4">
        <v>4545</v>
      </c>
      <c r="I71" s="4">
        <v>1016</v>
      </c>
      <c r="J71" s="4">
        <v>422685</v>
      </c>
      <c r="K71" s="4">
        <v>328197</v>
      </c>
      <c r="L71" s="2">
        <v>0.78</v>
      </c>
    </row>
    <row r="72" spans="3:12" x14ac:dyDescent="0.3">
      <c r="C72" s="1">
        <v>45707</v>
      </c>
      <c r="D72" t="s">
        <v>8</v>
      </c>
      <c r="E72" t="s">
        <v>9</v>
      </c>
      <c r="F72" t="s">
        <v>10</v>
      </c>
      <c r="G72">
        <v>90</v>
      </c>
      <c r="H72" s="4">
        <v>1125</v>
      </c>
      <c r="I72" s="4">
        <v>2158</v>
      </c>
      <c r="J72" s="4">
        <v>101250</v>
      </c>
      <c r="K72" s="4">
        <v>-92970</v>
      </c>
      <c r="L72" s="2">
        <v>-0.92</v>
      </c>
    </row>
    <row r="73" spans="3:12" x14ac:dyDescent="0.3">
      <c r="C73" s="1">
        <v>45761</v>
      </c>
      <c r="D73" t="s">
        <v>18</v>
      </c>
      <c r="E73" t="s">
        <v>16</v>
      </c>
      <c r="F73" t="s">
        <v>15</v>
      </c>
      <c r="G73">
        <v>63</v>
      </c>
      <c r="H73" s="4">
        <v>3859</v>
      </c>
      <c r="I73" s="4">
        <v>2365</v>
      </c>
      <c r="J73" s="4">
        <v>243117</v>
      </c>
      <c r="K73" s="4">
        <v>94122</v>
      </c>
      <c r="L73" s="2">
        <v>0.39</v>
      </c>
    </row>
    <row r="74" spans="3:12" x14ac:dyDescent="0.3">
      <c r="C74" s="1">
        <v>45789</v>
      </c>
      <c r="D74" t="s">
        <v>17</v>
      </c>
      <c r="E74" t="s">
        <v>9</v>
      </c>
      <c r="F74" t="s">
        <v>11</v>
      </c>
      <c r="G74">
        <v>31</v>
      </c>
      <c r="H74" s="4">
        <v>1536</v>
      </c>
      <c r="I74" s="4">
        <v>1641</v>
      </c>
      <c r="J74" s="4">
        <v>47616</v>
      </c>
      <c r="K74" s="4">
        <v>-3255</v>
      </c>
      <c r="L74" s="2">
        <v>-7.0000000000000007E-2</v>
      </c>
    </row>
    <row r="75" spans="3:12" x14ac:dyDescent="0.3">
      <c r="C75" s="1">
        <v>45659</v>
      </c>
      <c r="D75" t="s">
        <v>18</v>
      </c>
      <c r="E75" t="s">
        <v>12</v>
      </c>
      <c r="F75" t="s">
        <v>10</v>
      </c>
      <c r="G75">
        <v>53</v>
      </c>
      <c r="H75" s="4">
        <v>3192</v>
      </c>
      <c r="I75" s="4">
        <v>2432</v>
      </c>
      <c r="J75" s="4">
        <v>169176</v>
      </c>
      <c r="K75" s="4">
        <v>40280</v>
      </c>
      <c r="L75" s="2">
        <v>0.24</v>
      </c>
    </row>
    <row r="76" spans="3:12" x14ac:dyDescent="0.3">
      <c r="C76" s="1">
        <v>45791</v>
      </c>
      <c r="D76" t="s">
        <v>18</v>
      </c>
      <c r="E76" t="s">
        <v>16</v>
      </c>
      <c r="F76" t="s">
        <v>15</v>
      </c>
      <c r="G76">
        <v>81</v>
      </c>
      <c r="H76" s="4">
        <v>4596</v>
      </c>
      <c r="I76" s="4">
        <v>1314</v>
      </c>
      <c r="J76" s="4">
        <v>372276</v>
      </c>
      <c r="K76" s="4">
        <v>265842</v>
      </c>
      <c r="L76" s="2">
        <v>0.71</v>
      </c>
    </row>
    <row r="77" spans="3:12" x14ac:dyDescent="0.3">
      <c r="C77" s="1">
        <v>45711</v>
      </c>
      <c r="D77" t="s">
        <v>18</v>
      </c>
      <c r="E77" t="s">
        <v>9</v>
      </c>
      <c r="F77" t="s">
        <v>13</v>
      </c>
      <c r="G77">
        <v>37</v>
      </c>
      <c r="H77" s="4">
        <v>4283</v>
      </c>
      <c r="I77" s="4">
        <v>2775</v>
      </c>
      <c r="J77" s="4">
        <v>158471</v>
      </c>
      <c r="K77" s="4">
        <v>55796</v>
      </c>
      <c r="L77" s="2">
        <v>0.35</v>
      </c>
    </row>
    <row r="78" spans="3:12" x14ac:dyDescent="0.3">
      <c r="C78" s="1">
        <v>45763</v>
      </c>
      <c r="D78" t="s">
        <v>8</v>
      </c>
      <c r="E78" t="s">
        <v>16</v>
      </c>
      <c r="F78" t="s">
        <v>10</v>
      </c>
      <c r="G78">
        <v>5</v>
      </c>
      <c r="H78" s="4">
        <v>3072</v>
      </c>
      <c r="I78" s="4">
        <v>2400</v>
      </c>
      <c r="J78" s="4">
        <v>15360</v>
      </c>
      <c r="K78" s="4">
        <v>3360</v>
      </c>
      <c r="L78" s="2">
        <v>0.22</v>
      </c>
    </row>
    <row r="79" spans="3:12" x14ac:dyDescent="0.3">
      <c r="C79" s="1">
        <v>45661</v>
      </c>
      <c r="D79" t="s">
        <v>8</v>
      </c>
      <c r="E79" t="s">
        <v>12</v>
      </c>
      <c r="F79" t="s">
        <v>15</v>
      </c>
      <c r="G79">
        <v>25</v>
      </c>
      <c r="H79" s="4">
        <v>2603</v>
      </c>
      <c r="I79" s="4">
        <v>2763</v>
      </c>
      <c r="J79" s="4">
        <v>65075</v>
      </c>
      <c r="K79" s="4">
        <v>-4000</v>
      </c>
      <c r="L79" s="2">
        <v>-0.06</v>
      </c>
    </row>
    <row r="80" spans="3:12" x14ac:dyDescent="0.3">
      <c r="C80" s="1">
        <v>45711</v>
      </c>
      <c r="D80" t="s">
        <v>18</v>
      </c>
      <c r="E80" t="s">
        <v>16</v>
      </c>
      <c r="F80" t="s">
        <v>15</v>
      </c>
      <c r="G80">
        <v>59</v>
      </c>
      <c r="H80" s="4">
        <v>4465</v>
      </c>
      <c r="I80" s="4">
        <v>2562</v>
      </c>
      <c r="J80" s="4">
        <v>263435</v>
      </c>
      <c r="K80" s="4">
        <v>112277</v>
      </c>
      <c r="L80" s="2">
        <v>0.43</v>
      </c>
    </row>
    <row r="81" spans="3:12" x14ac:dyDescent="0.3">
      <c r="C81" s="1">
        <v>45848</v>
      </c>
      <c r="D81" t="s">
        <v>8</v>
      </c>
      <c r="E81" t="s">
        <v>16</v>
      </c>
      <c r="F81" t="s">
        <v>10</v>
      </c>
      <c r="G81">
        <v>10</v>
      </c>
      <c r="H81" s="4">
        <v>1066</v>
      </c>
      <c r="I81" s="4">
        <v>2594</v>
      </c>
      <c r="J81" s="4">
        <v>10660</v>
      </c>
      <c r="K81" s="4">
        <v>-15280</v>
      </c>
      <c r="L81" s="2">
        <v>-1.43</v>
      </c>
    </row>
    <row r="82" spans="3:12" x14ac:dyDescent="0.3">
      <c r="C82" s="1">
        <v>45803</v>
      </c>
      <c r="D82" t="s">
        <v>14</v>
      </c>
      <c r="E82" t="s">
        <v>16</v>
      </c>
      <c r="F82" t="s">
        <v>13</v>
      </c>
      <c r="G82">
        <v>96</v>
      </c>
      <c r="H82" s="4">
        <v>1232</v>
      </c>
      <c r="I82" s="4">
        <v>2871</v>
      </c>
      <c r="J82" s="4">
        <v>118272</v>
      </c>
      <c r="K82" s="4">
        <v>-157344</v>
      </c>
      <c r="L82" s="2">
        <v>-1.33</v>
      </c>
    </row>
    <row r="83" spans="3:12" x14ac:dyDescent="0.3">
      <c r="C83" s="1">
        <v>45701</v>
      </c>
      <c r="D83" t="s">
        <v>14</v>
      </c>
      <c r="E83" t="s">
        <v>16</v>
      </c>
      <c r="F83" t="s">
        <v>10</v>
      </c>
      <c r="G83">
        <v>85</v>
      </c>
      <c r="H83" s="4">
        <v>3156</v>
      </c>
      <c r="I83" s="4">
        <v>629</v>
      </c>
      <c r="J83" s="4">
        <v>268260</v>
      </c>
      <c r="K83" s="4">
        <v>214795</v>
      </c>
      <c r="L83" s="2">
        <v>0.8</v>
      </c>
    </row>
    <row r="84" spans="3:12" x14ac:dyDescent="0.3">
      <c r="C84" s="1">
        <v>45819</v>
      </c>
      <c r="D84" t="s">
        <v>8</v>
      </c>
      <c r="E84" t="s">
        <v>12</v>
      </c>
      <c r="F84" t="s">
        <v>15</v>
      </c>
      <c r="G84">
        <v>73</v>
      </c>
      <c r="H84" s="4">
        <v>2169</v>
      </c>
      <c r="I84" s="4">
        <v>594</v>
      </c>
      <c r="J84" s="4">
        <v>158337</v>
      </c>
      <c r="K84" s="4">
        <v>114975</v>
      </c>
      <c r="L84" s="2">
        <v>0.73</v>
      </c>
    </row>
    <row r="85" spans="3:12" x14ac:dyDescent="0.3">
      <c r="C85" s="1">
        <v>45847</v>
      </c>
      <c r="D85" t="s">
        <v>8</v>
      </c>
      <c r="E85" t="s">
        <v>16</v>
      </c>
      <c r="F85" t="s">
        <v>11</v>
      </c>
      <c r="G85">
        <v>99</v>
      </c>
      <c r="H85" s="4">
        <v>3158</v>
      </c>
      <c r="I85" s="4">
        <v>2455</v>
      </c>
      <c r="J85" s="4">
        <v>312642</v>
      </c>
      <c r="K85" s="4">
        <v>69597</v>
      </c>
      <c r="L85" s="2">
        <v>0.22</v>
      </c>
    </row>
    <row r="86" spans="3:12" x14ac:dyDescent="0.3">
      <c r="C86" s="1">
        <v>45671</v>
      </c>
      <c r="D86" t="s">
        <v>18</v>
      </c>
      <c r="E86" t="s">
        <v>16</v>
      </c>
      <c r="F86" t="s">
        <v>11</v>
      </c>
      <c r="G86">
        <v>9</v>
      </c>
      <c r="H86" s="4">
        <v>3275</v>
      </c>
      <c r="I86" s="4">
        <v>1293</v>
      </c>
      <c r="J86" s="4">
        <v>29475</v>
      </c>
      <c r="K86" s="4">
        <v>17838</v>
      </c>
      <c r="L86" s="2">
        <v>0.61</v>
      </c>
    </row>
    <row r="87" spans="3:12" x14ac:dyDescent="0.3">
      <c r="C87" s="1">
        <v>45752</v>
      </c>
      <c r="D87" t="s">
        <v>17</v>
      </c>
      <c r="E87" t="s">
        <v>9</v>
      </c>
      <c r="F87" t="s">
        <v>10</v>
      </c>
      <c r="G87">
        <v>7</v>
      </c>
      <c r="H87" s="4">
        <v>1110</v>
      </c>
      <c r="I87" s="4">
        <v>2334</v>
      </c>
      <c r="J87" s="4">
        <v>7770</v>
      </c>
      <c r="K87" s="4">
        <v>-8568</v>
      </c>
      <c r="L87" s="2">
        <v>-1.1000000000000001</v>
      </c>
    </row>
    <row r="88" spans="3:12" x14ac:dyDescent="0.3">
      <c r="C88" s="1">
        <v>45705</v>
      </c>
      <c r="D88" t="s">
        <v>8</v>
      </c>
      <c r="E88" t="s">
        <v>16</v>
      </c>
      <c r="F88" t="s">
        <v>15</v>
      </c>
      <c r="G88">
        <v>57</v>
      </c>
      <c r="H88" s="4">
        <v>2493</v>
      </c>
      <c r="I88" s="4">
        <v>2616</v>
      </c>
      <c r="J88" s="4">
        <v>142101</v>
      </c>
      <c r="K88" s="4">
        <v>-7011</v>
      </c>
      <c r="L88" s="2">
        <v>-0.05</v>
      </c>
    </row>
    <row r="89" spans="3:12" x14ac:dyDescent="0.3">
      <c r="C89" s="1">
        <v>45672</v>
      </c>
      <c r="D89" t="s">
        <v>14</v>
      </c>
      <c r="E89" t="s">
        <v>9</v>
      </c>
      <c r="F89" t="s">
        <v>11</v>
      </c>
      <c r="G89">
        <v>27</v>
      </c>
      <c r="H89" s="4">
        <v>3081</v>
      </c>
      <c r="I89" s="4">
        <v>2183</v>
      </c>
      <c r="J89" s="4">
        <v>83187</v>
      </c>
      <c r="K89" s="4">
        <v>24246</v>
      </c>
      <c r="L89" s="2">
        <v>0.28999999999999998</v>
      </c>
    </row>
    <row r="90" spans="3:12" x14ac:dyDescent="0.3">
      <c r="C90" s="1">
        <v>45857</v>
      </c>
      <c r="D90" t="s">
        <v>18</v>
      </c>
      <c r="E90" t="s">
        <v>12</v>
      </c>
      <c r="F90" t="s">
        <v>15</v>
      </c>
      <c r="G90">
        <v>57</v>
      </c>
      <c r="H90" s="4">
        <v>1622</v>
      </c>
      <c r="I90" s="4">
        <v>510</v>
      </c>
      <c r="J90" s="4">
        <v>92454</v>
      </c>
      <c r="K90" s="4">
        <v>63384</v>
      </c>
      <c r="L90" s="2">
        <v>0.69</v>
      </c>
    </row>
    <row r="91" spans="3:12" x14ac:dyDescent="0.3">
      <c r="C91" s="1">
        <v>45847</v>
      </c>
      <c r="D91" t="s">
        <v>8</v>
      </c>
      <c r="E91" t="s">
        <v>12</v>
      </c>
      <c r="F91" t="s">
        <v>10</v>
      </c>
      <c r="G91">
        <v>41</v>
      </c>
      <c r="H91" s="4">
        <v>4847</v>
      </c>
      <c r="I91" s="4">
        <v>2365</v>
      </c>
      <c r="J91" s="4">
        <v>198727</v>
      </c>
      <c r="K91" s="4">
        <v>101762</v>
      </c>
      <c r="L91" s="2">
        <v>0.51</v>
      </c>
    </row>
    <row r="92" spans="3:12" x14ac:dyDescent="0.3">
      <c r="C92" s="1">
        <v>45697</v>
      </c>
      <c r="D92" t="s">
        <v>14</v>
      </c>
      <c r="E92" t="s">
        <v>12</v>
      </c>
      <c r="F92" t="s">
        <v>11</v>
      </c>
      <c r="G92">
        <v>78</v>
      </c>
      <c r="H92" s="4">
        <v>4440</v>
      </c>
      <c r="I92" s="4">
        <v>1211</v>
      </c>
      <c r="J92" s="4">
        <v>346320</v>
      </c>
      <c r="K92" s="4">
        <v>251862</v>
      </c>
      <c r="L92" s="2">
        <v>0.73</v>
      </c>
    </row>
    <row r="93" spans="3:12" x14ac:dyDescent="0.3">
      <c r="C93" s="1">
        <v>45739</v>
      </c>
      <c r="D93" t="s">
        <v>14</v>
      </c>
      <c r="E93" t="s">
        <v>12</v>
      </c>
      <c r="F93" t="s">
        <v>15</v>
      </c>
      <c r="G93">
        <v>78</v>
      </c>
      <c r="H93" s="4">
        <v>3795</v>
      </c>
      <c r="I93" s="4">
        <v>2570</v>
      </c>
      <c r="J93" s="4">
        <v>296010</v>
      </c>
      <c r="K93" s="4">
        <v>95550</v>
      </c>
      <c r="L93" s="2">
        <v>0.32</v>
      </c>
    </row>
    <row r="94" spans="3:12" x14ac:dyDescent="0.3">
      <c r="C94" s="1">
        <v>45768</v>
      </c>
      <c r="D94" t="s">
        <v>17</v>
      </c>
      <c r="E94" t="s">
        <v>9</v>
      </c>
      <c r="F94" t="s">
        <v>11</v>
      </c>
      <c r="G94">
        <v>87</v>
      </c>
      <c r="H94" s="4">
        <v>3642</v>
      </c>
      <c r="I94" s="4">
        <v>1314</v>
      </c>
      <c r="J94" s="4">
        <v>316854</v>
      </c>
      <c r="K94" s="4">
        <v>202536</v>
      </c>
      <c r="L94" s="2">
        <v>0.64</v>
      </c>
    </row>
    <row r="95" spans="3:12" x14ac:dyDescent="0.3">
      <c r="C95" s="1">
        <v>45710</v>
      </c>
      <c r="D95" t="s">
        <v>18</v>
      </c>
      <c r="E95" t="s">
        <v>16</v>
      </c>
      <c r="F95" t="s">
        <v>10</v>
      </c>
      <c r="G95">
        <v>21</v>
      </c>
      <c r="H95" s="4">
        <v>4625</v>
      </c>
      <c r="I95" s="4">
        <v>845</v>
      </c>
      <c r="J95" s="4">
        <v>97125</v>
      </c>
      <c r="K95" s="4">
        <v>79380</v>
      </c>
      <c r="L95" s="2">
        <v>0.82</v>
      </c>
    </row>
    <row r="96" spans="3:12" x14ac:dyDescent="0.3">
      <c r="C96" s="1">
        <v>45681</v>
      </c>
      <c r="D96" t="s">
        <v>18</v>
      </c>
      <c r="E96" t="s">
        <v>12</v>
      </c>
      <c r="F96" t="s">
        <v>15</v>
      </c>
      <c r="G96">
        <v>89</v>
      </c>
      <c r="H96" s="4">
        <v>3472</v>
      </c>
      <c r="I96" s="4">
        <v>2849</v>
      </c>
      <c r="J96" s="4">
        <v>309008</v>
      </c>
      <c r="K96" s="4">
        <v>55447</v>
      </c>
      <c r="L96" s="2">
        <v>0.18</v>
      </c>
    </row>
    <row r="97" spans="3:12" x14ac:dyDescent="0.3">
      <c r="C97" s="1">
        <v>45811</v>
      </c>
      <c r="D97" t="s">
        <v>17</v>
      </c>
      <c r="E97" t="s">
        <v>16</v>
      </c>
      <c r="F97" t="s">
        <v>11</v>
      </c>
      <c r="G97">
        <v>82</v>
      </c>
      <c r="H97" s="4">
        <v>3660</v>
      </c>
      <c r="I97" s="4">
        <v>862</v>
      </c>
      <c r="J97" s="4">
        <v>300120</v>
      </c>
      <c r="K97" s="4">
        <v>229436</v>
      </c>
      <c r="L97" s="2">
        <v>0.76</v>
      </c>
    </row>
    <row r="98" spans="3:12" x14ac:dyDescent="0.3">
      <c r="C98" s="1">
        <v>45845</v>
      </c>
      <c r="D98" t="s">
        <v>17</v>
      </c>
      <c r="E98" t="s">
        <v>9</v>
      </c>
      <c r="F98" t="s">
        <v>10</v>
      </c>
      <c r="G98">
        <v>77</v>
      </c>
      <c r="H98" s="4">
        <v>2541</v>
      </c>
      <c r="I98" s="4">
        <v>2943</v>
      </c>
      <c r="J98" s="4">
        <v>195657</v>
      </c>
      <c r="K98" s="4">
        <v>-30954</v>
      </c>
      <c r="L98" s="2">
        <v>-0.16</v>
      </c>
    </row>
    <row r="99" spans="3:12" x14ac:dyDescent="0.3">
      <c r="C99" s="1">
        <v>45781</v>
      </c>
      <c r="D99" t="s">
        <v>18</v>
      </c>
      <c r="E99" t="s">
        <v>9</v>
      </c>
      <c r="F99" t="s">
        <v>11</v>
      </c>
      <c r="G99">
        <v>5</v>
      </c>
      <c r="H99" s="4">
        <v>3739</v>
      </c>
      <c r="I99" s="4">
        <v>2765</v>
      </c>
      <c r="J99" s="4">
        <v>18695</v>
      </c>
      <c r="K99" s="4">
        <v>4870</v>
      </c>
      <c r="L99" s="2">
        <v>0.26</v>
      </c>
    </row>
    <row r="100" spans="3:12" x14ac:dyDescent="0.3">
      <c r="C100" s="1">
        <v>45698</v>
      </c>
      <c r="D100" t="s">
        <v>18</v>
      </c>
      <c r="E100" t="s">
        <v>9</v>
      </c>
      <c r="F100" t="s">
        <v>11</v>
      </c>
      <c r="G100">
        <v>55</v>
      </c>
      <c r="H100" s="4">
        <v>2305</v>
      </c>
      <c r="I100" s="4">
        <v>2688</v>
      </c>
      <c r="J100" s="4">
        <v>126775</v>
      </c>
      <c r="K100" s="4">
        <v>-21065</v>
      </c>
      <c r="L100" s="2">
        <v>-0.17</v>
      </c>
    </row>
    <row r="101" spans="3:12" x14ac:dyDescent="0.3">
      <c r="C101" s="1">
        <v>45814</v>
      </c>
      <c r="D101" t="s">
        <v>8</v>
      </c>
      <c r="E101" t="s">
        <v>12</v>
      </c>
      <c r="F101" t="s">
        <v>13</v>
      </c>
      <c r="G101">
        <v>49</v>
      </c>
      <c r="H101" s="4">
        <v>4391</v>
      </c>
      <c r="I101" s="4">
        <v>1484</v>
      </c>
      <c r="J101" s="4">
        <v>215159</v>
      </c>
      <c r="K101" s="4">
        <v>142443</v>
      </c>
      <c r="L101" s="2">
        <v>0.66</v>
      </c>
    </row>
    <row r="102" spans="3:12" x14ac:dyDescent="0.3">
      <c r="C102" s="1">
        <v>45672</v>
      </c>
      <c r="D102" t="s">
        <v>8</v>
      </c>
      <c r="E102" t="s">
        <v>16</v>
      </c>
      <c r="F102" t="s">
        <v>13</v>
      </c>
      <c r="G102">
        <v>81</v>
      </c>
      <c r="H102" s="4">
        <v>2761</v>
      </c>
      <c r="I102" s="4">
        <v>2139</v>
      </c>
      <c r="J102" s="4">
        <v>223641</v>
      </c>
      <c r="K102" s="4">
        <v>50382</v>
      </c>
      <c r="L102" s="2">
        <v>0.23</v>
      </c>
    </row>
    <row r="103" spans="3:12" x14ac:dyDescent="0.3">
      <c r="C103" s="1">
        <v>45702</v>
      </c>
      <c r="D103" t="s">
        <v>17</v>
      </c>
      <c r="E103" t="s">
        <v>16</v>
      </c>
      <c r="F103" t="s">
        <v>10</v>
      </c>
      <c r="G103">
        <v>8</v>
      </c>
      <c r="H103" s="4">
        <v>4514</v>
      </c>
      <c r="I103" s="4">
        <v>1327</v>
      </c>
      <c r="J103" s="4">
        <v>36112</v>
      </c>
      <c r="K103" s="4">
        <v>25496</v>
      </c>
      <c r="L103" s="2">
        <v>0.71</v>
      </c>
    </row>
    <row r="104" spans="3:12" x14ac:dyDescent="0.3">
      <c r="C104" s="1">
        <v>45722</v>
      </c>
      <c r="D104" t="s">
        <v>8</v>
      </c>
      <c r="E104" t="s">
        <v>16</v>
      </c>
      <c r="F104" t="s">
        <v>13</v>
      </c>
      <c r="G104">
        <v>66</v>
      </c>
      <c r="H104" s="4">
        <v>2975</v>
      </c>
      <c r="I104" s="4">
        <v>855</v>
      </c>
      <c r="J104" s="4">
        <v>196350</v>
      </c>
      <c r="K104" s="4">
        <v>139920</v>
      </c>
      <c r="L104" s="2">
        <v>0.71</v>
      </c>
    </row>
    <row r="105" spans="3:12" x14ac:dyDescent="0.3">
      <c r="C105" s="1">
        <v>45746</v>
      </c>
      <c r="D105" t="s">
        <v>14</v>
      </c>
      <c r="E105" t="s">
        <v>9</v>
      </c>
      <c r="F105" t="s">
        <v>10</v>
      </c>
      <c r="G105">
        <v>69</v>
      </c>
      <c r="H105" s="4">
        <v>3362</v>
      </c>
      <c r="I105" s="4">
        <v>1847</v>
      </c>
      <c r="J105" s="4">
        <v>231978</v>
      </c>
      <c r="K105" s="4">
        <v>104535</v>
      </c>
      <c r="L105" s="2">
        <v>0.45</v>
      </c>
    </row>
    <row r="106" spans="3:12" x14ac:dyDescent="0.3">
      <c r="C106" s="1">
        <v>45728</v>
      </c>
      <c r="D106" t="s">
        <v>8</v>
      </c>
      <c r="E106" t="s">
        <v>12</v>
      </c>
      <c r="F106" t="s">
        <v>13</v>
      </c>
      <c r="G106">
        <v>36</v>
      </c>
      <c r="H106" s="4">
        <v>1876</v>
      </c>
      <c r="I106" s="4">
        <v>2363</v>
      </c>
      <c r="J106" s="4">
        <v>67536</v>
      </c>
      <c r="K106" s="4">
        <v>-17532</v>
      </c>
      <c r="L106" s="2">
        <v>-0.26</v>
      </c>
    </row>
    <row r="107" spans="3:12" x14ac:dyDescent="0.3">
      <c r="C107" s="1">
        <v>45666</v>
      </c>
      <c r="D107" t="s">
        <v>8</v>
      </c>
      <c r="E107" t="s">
        <v>9</v>
      </c>
      <c r="F107" t="s">
        <v>11</v>
      </c>
      <c r="G107">
        <v>38</v>
      </c>
      <c r="H107" s="4">
        <v>2989</v>
      </c>
      <c r="I107" s="4">
        <v>626</v>
      </c>
      <c r="J107" s="4">
        <v>113582</v>
      </c>
      <c r="K107" s="4">
        <v>89794</v>
      </c>
      <c r="L107" s="2">
        <v>0.79</v>
      </c>
    </row>
    <row r="108" spans="3:12" x14ac:dyDescent="0.3">
      <c r="C108" s="1">
        <v>45745</v>
      </c>
      <c r="D108" t="s">
        <v>14</v>
      </c>
      <c r="E108" t="s">
        <v>9</v>
      </c>
      <c r="F108" t="s">
        <v>10</v>
      </c>
      <c r="G108">
        <v>96</v>
      </c>
      <c r="H108" s="4">
        <v>4812</v>
      </c>
      <c r="I108" s="4">
        <v>1103</v>
      </c>
      <c r="J108" s="4">
        <v>461952</v>
      </c>
      <c r="K108" s="4">
        <v>356064</v>
      </c>
      <c r="L108" s="2">
        <v>0.77</v>
      </c>
    </row>
    <row r="109" spans="3:12" x14ac:dyDescent="0.3">
      <c r="C109" s="1">
        <v>45786</v>
      </c>
      <c r="D109" t="s">
        <v>17</v>
      </c>
      <c r="E109" t="s">
        <v>16</v>
      </c>
      <c r="F109" t="s">
        <v>10</v>
      </c>
      <c r="G109">
        <v>99</v>
      </c>
      <c r="H109" s="4">
        <v>4448</v>
      </c>
      <c r="I109" s="4">
        <v>2428</v>
      </c>
      <c r="J109" s="4">
        <v>440352</v>
      </c>
      <c r="K109" s="4">
        <v>199980</v>
      </c>
      <c r="L109" s="2">
        <v>0.45</v>
      </c>
    </row>
    <row r="110" spans="3:12" x14ac:dyDescent="0.3">
      <c r="C110" s="1">
        <v>45793</v>
      </c>
      <c r="D110" t="s">
        <v>14</v>
      </c>
      <c r="E110" t="s">
        <v>9</v>
      </c>
      <c r="F110" t="s">
        <v>11</v>
      </c>
      <c r="G110">
        <v>76</v>
      </c>
      <c r="H110" s="4">
        <v>2312</v>
      </c>
      <c r="I110" s="4">
        <v>1513</v>
      </c>
      <c r="J110" s="4">
        <v>175712</v>
      </c>
      <c r="K110" s="4">
        <v>60724</v>
      </c>
      <c r="L110" s="2">
        <v>0.35</v>
      </c>
    </row>
    <row r="111" spans="3:12" x14ac:dyDescent="0.3">
      <c r="C111" s="1">
        <v>45720</v>
      </c>
      <c r="D111" t="s">
        <v>8</v>
      </c>
      <c r="E111" t="s">
        <v>16</v>
      </c>
      <c r="F111" t="s">
        <v>10</v>
      </c>
      <c r="G111">
        <v>43</v>
      </c>
      <c r="H111" s="4">
        <v>2460</v>
      </c>
      <c r="I111" s="4">
        <v>550</v>
      </c>
      <c r="J111" s="4">
        <v>105780</v>
      </c>
      <c r="K111" s="4">
        <v>82130</v>
      </c>
      <c r="L111" s="2">
        <v>0.78</v>
      </c>
    </row>
    <row r="112" spans="3:12" x14ac:dyDescent="0.3">
      <c r="C112" s="1">
        <v>45796</v>
      </c>
      <c r="D112" t="s">
        <v>17</v>
      </c>
      <c r="E112" t="s">
        <v>12</v>
      </c>
      <c r="F112" t="s">
        <v>10</v>
      </c>
      <c r="G112">
        <v>30</v>
      </c>
      <c r="H112" s="4">
        <v>3709</v>
      </c>
      <c r="I112" s="4">
        <v>1930</v>
      </c>
      <c r="J112" s="4">
        <v>111270</v>
      </c>
      <c r="K112" s="4">
        <v>53370</v>
      </c>
      <c r="L112" s="2">
        <v>0.48</v>
      </c>
    </row>
    <row r="113" spans="3:12" x14ac:dyDescent="0.3">
      <c r="C113" s="1">
        <v>45738</v>
      </c>
      <c r="D113" t="s">
        <v>8</v>
      </c>
      <c r="E113" t="s">
        <v>16</v>
      </c>
      <c r="F113" t="s">
        <v>13</v>
      </c>
      <c r="G113">
        <v>38</v>
      </c>
      <c r="H113" s="4">
        <v>3324</v>
      </c>
      <c r="I113" s="4">
        <v>2292</v>
      </c>
      <c r="J113" s="4">
        <v>126312</v>
      </c>
      <c r="K113" s="4">
        <v>39216</v>
      </c>
      <c r="L113" s="2">
        <v>0.31</v>
      </c>
    </row>
    <row r="114" spans="3:12" x14ac:dyDescent="0.3">
      <c r="C114" s="1">
        <v>45793</v>
      </c>
      <c r="D114" t="s">
        <v>14</v>
      </c>
      <c r="E114" t="s">
        <v>12</v>
      </c>
      <c r="F114" t="s">
        <v>10</v>
      </c>
      <c r="G114">
        <v>58</v>
      </c>
      <c r="H114" s="4">
        <v>2733</v>
      </c>
      <c r="I114" s="4">
        <v>2136</v>
      </c>
      <c r="J114" s="4">
        <v>158514</v>
      </c>
      <c r="K114" s="4">
        <v>34626</v>
      </c>
      <c r="L114" s="2">
        <v>0.22</v>
      </c>
    </row>
    <row r="115" spans="3:12" x14ac:dyDescent="0.3">
      <c r="C115" s="1">
        <v>45820</v>
      </c>
      <c r="D115" t="s">
        <v>14</v>
      </c>
      <c r="E115" t="s">
        <v>16</v>
      </c>
      <c r="F115" t="s">
        <v>15</v>
      </c>
      <c r="G115">
        <v>7</v>
      </c>
      <c r="H115" s="4">
        <v>2605</v>
      </c>
      <c r="I115" s="4">
        <v>2145</v>
      </c>
      <c r="J115" s="4">
        <v>18235</v>
      </c>
      <c r="K115" s="4">
        <v>3220</v>
      </c>
      <c r="L115" s="2">
        <v>0.18</v>
      </c>
    </row>
    <row r="116" spans="3:12" x14ac:dyDescent="0.3">
      <c r="C116" s="1">
        <v>45820</v>
      </c>
      <c r="D116" t="s">
        <v>8</v>
      </c>
      <c r="E116" t="s">
        <v>9</v>
      </c>
      <c r="F116" t="s">
        <v>11</v>
      </c>
      <c r="G116">
        <v>54</v>
      </c>
      <c r="H116" s="4">
        <v>2526</v>
      </c>
      <c r="I116" s="4">
        <v>2967</v>
      </c>
      <c r="J116" s="4">
        <v>136404</v>
      </c>
      <c r="K116" s="4">
        <v>-23814</v>
      </c>
      <c r="L116" s="2">
        <v>-0.17</v>
      </c>
    </row>
    <row r="117" spans="3:12" x14ac:dyDescent="0.3">
      <c r="C117" s="1">
        <v>45690</v>
      </c>
      <c r="D117" t="s">
        <v>18</v>
      </c>
      <c r="E117" t="s">
        <v>9</v>
      </c>
      <c r="F117" t="s">
        <v>13</v>
      </c>
      <c r="G117">
        <v>16</v>
      </c>
      <c r="H117" s="4">
        <v>3671</v>
      </c>
      <c r="I117" s="4">
        <v>1705</v>
      </c>
      <c r="J117" s="4">
        <v>58736</v>
      </c>
      <c r="K117" s="4">
        <v>31456</v>
      </c>
      <c r="L117" s="2">
        <v>0.54</v>
      </c>
    </row>
    <row r="118" spans="3:12" x14ac:dyDescent="0.3">
      <c r="C118" s="1">
        <v>45780</v>
      </c>
      <c r="D118" t="s">
        <v>18</v>
      </c>
      <c r="E118" t="s">
        <v>12</v>
      </c>
      <c r="F118" t="s">
        <v>13</v>
      </c>
      <c r="G118">
        <v>69</v>
      </c>
      <c r="H118" s="4">
        <v>3563</v>
      </c>
      <c r="I118" s="4">
        <v>2354</v>
      </c>
      <c r="J118" s="4">
        <v>245847</v>
      </c>
      <c r="K118" s="4">
        <v>83421</v>
      </c>
      <c r="L118" s="2">
        <v>0.34</v>
      </c>
    </row>
    <row r="119" spans="3:12" x14ac:dyDescent="0.3">
      <c r="C119" s="1">
        <v>45662</v>
      </c>
      <c r="D119" t="s">
        <v>14</v>
      </c>
      <c r="E119" t="s">
        <v>12</v>
      </c>
      <c r="F119" t="s">
        <v>15</v>
      </c>
      <c r="G119">
        <v>58</v>
      </c>
      <c r="H119" s="4">
        <v>4421</v>
      </c>
      <c r="I119" s="4">
        <v>1066</v>
      </c>
      <c r="J119" s="4">
        <v>256418</v>
      </c>
      <c r="K119" s="4">
        <v>194590</v>
      </c>
      <c r="L119" s="2">
        <v>0.76</v>
      </c>
    </row>
    <row r="120" spans="3:12" x14ac:dyDescent="0.3">
      <c r="C120" s="1">
        <v>45698</v>
      </c>
      <c r="D120" t="s">
        <v>14</v>
      </c>
      <c r="E120" t="s">
        <v>12</v>
      </c>
      <c r="F120" t="s">
        <v>11</v>
      </c>
      <c r="G120">
        <v>9</v>
      </c>
      <c r="H120" s="4">
        <v>3890</v>
      </c>
      <c r="I120" s="4">
        <v>2918</v>
      </c>
      <c r="J120" s="4">
        <v>35010</v>
      </c>
      <c r="K120" s="4">
        <v>8748</v>
      </c>
      <c r="L120" s="2">
        <v>0.25</v>
      </c>
    </row>
    <row r="121" spans="3:12" x14ac:dyDescent="0.3">
      <c r="C121" s="1">
        <v>45685</v>
      </c>
      <c r="D121" t="s">
        <v>18</v>
      </c>
      <c r="E121" t="s">
        <v>16</v>
      </c>
      <c r="F121" t="s">
        <v>11</v>
      </c>
      <c r="G121">
        <v>98</v>
      </c>
      <c r="H121" s="4">
        <v>4517</v>
      </c>
      <c r="I121" s="4">
        <v>1435</v>
      </c>
      <c r="J121" s="4">
        <v>442666</v>
      </c>
      <c r="K121" s="4">
        <v>302036</v>
      </c>
      <c r="L121" s="2">
        <v>0.68</v>
      </c>
    </row>
    <row r="122" spans="3:12" x14ac:dyDescent="0.3">
      <c r="C122" s="1">
        <v>45792</v>
      </c>
      <c r="D122" t="s">
        <v>18</v>
      </c>
      <c r="E122" t="s">
        <v>16</v>
      </c>
      <c r="F122" t="s">
        <v>13</v>
      </c>
      <c r="G122">
        <v>98</v>
      </c>
      <c r="H122" s="4">
        <v>4901</v>
      </c>
      <c r="I122" s="4">
        <v>2434</v>
      </c>
      <c r="J122" s="4">
        <v>480298</v>
      </c>
      <c r="K122" s="4">
        <v>241766</v>
      </c>
      <c r="L122" s="2">
        <v>0.5</v>
      </c>
    </row>
    <row r="123" spans="3:12" x14ac:dyDescent="0.3">
      <c r="C123" s="1">
        <v>45729</v>
      </c>
      <c r="D123" t="s">
        <v>8</v>
      </c>
      <c r="E123" t="s">
        <v>12</v>
      </c>
      <c r="F123" t="s">
        <v>10</v>
      </c>
      <c r="G123">
        <v>61</v>
      </c>
      <c r="H123" s="4">
        <v>3397</v>
      </c>
      <c r="I123" s="4">
        <v>1832</v>
      </c>
      <c r="J123" s="4">
        <v>207217</v>
      </c>
      <c r="K123" s="4">
        <v>95465</v>
      </c>
      <c r="L123" s="2">
        <v>0.46</v>
      </c>
    </row>
    <row r="124" spans="3:12" x14ac:dyDescent="0.3">
      <c r="C124" s="1">
        <v>45669</v>
      </c>
      <c r="D124" t="s">
        <v>8</v>
      </c>
      <c r="E124" t="s">
        <v>9</v>
      </c>
      <c r="F124" t="s">
        <v>13</v>
      </c>
      <c r="G124">
        <v>21</v>
      </c>
      <c r="H124" s="4">
        <v>2630</v>
      </c>
      <c r="I124" s="4">
        <v>701</v>
      </c>
      <c r="J124" s="4">
        <v>55230</v>
      </c>
      <c r="K124" s="4">
        <v>40509</v>
      </c>
      <c r="L124" s="2">
        <v>0.73</v>
      </c>
    </row>
    <row r="125" spans="3:12" x14ac:dyDescent="0.3">
      <c r="C125" s="1">
        <v>45819</v>
      </c>
      <c r="D125" t="s">
        <v>18</v>
      </c>
      <c r="E125" t="s">
        <v>16</v>
      </c>
      <c r="F125" t="s">
        <v>11</v>
      </c>
      <c r="G125">
        <v>51</v>
      </c>
      <c r="H125" s="4">
        <v>4735</v>
      </c>
      <c r="I125" s="4">
        <v>2860</v>
      </c>
      <c r="J125" s="4">
        <v>241485</v>
      </c>
      <c r="K125" s="4">
        <v>95625</v>
      </c>
      <c r="L125" s="2">
        <v>0.4</v>
      </c>
    </row>
    <row r="126" spans="3:12" x14ac:dyDescent="0.3">
      <c r="C126" s="1">
        <v>45690</v>
      </c>
      <c r="D126" t="s">
        <v>8</v>
      </c>
      <c r="E126" t="s">
        <v>16</v>
      </c>
      <c r="F126" t="s">
        <v>15</v>
      </c>
      <c r="G126">
        <v>27</v>
      </c>
      <c r="H126" s="4">
        <v>3870</v>
      </c>
      <c r="I126" s="4">
        <v>616</v>
      </c>
      <c r="J126" s="4">
        <v>104490</v>
      </c>
      <c r="K126" s="4">
        <v>87858</v>
      </c>
      <c r="L126" s="2">
        <v>0.84</v>
      </c>
    </row>
    <row r="127" spans="3:12" x14ac:dyDescent="0.3">
      <c r="C127" s="1">
        <v>45705</v>
      </c>
      <c r="D127" t="s">
        <v>8</v>
      </c>
      <c r="E127" t="s">
        <v>16</v>
      </c>
      <c r="F127" t="s">
        <v>13</v>
      </c>
      <c r="G127">
        <v>83</v>
      </c>
      <c r="H127" s="4">
        <v>2160</v>
      </c>
      <c r="I127" s="4">
        <v>1436</v>
      </c>
      <c r="J127" s="4">
        <v>179280</v>
      </c>
      <c r="K127" s="4">
        <v>60092</v>
      </c>
      <c r="L127" s="2">
        <v>0.34</v>
      </c>
    </row>
    <row r="128" spans="3:12" x14ac:dyDescent="0.3">
      <c r="C128" s="1">
        <v>45808</v>
      </c>
      <c r="D128" t="s">
        <v>17</v>
      </c>
      <c r="E128" t="s">
        <v>12</v>
      </c>
      <c r="F128" t="s">
        <v>11</v>
      </c>
      <c r="G128">
        <v>89</v>
      </c>
      <c r="H128" s="4">
        <v>1758</v>
      </c>
      <c r="I128" s="4">
        <v>1074</v>
      </c>
      <c r="J128" s="4">
        <v>156462</v>
      </c>
      <c r="K128" s="4">
        <v>60876</v>
      </c>
      <c r="L128" s="2">
        <v>0.39</v>
      </c>
    </row>
    <row r="129" spans="3:12" x14ac:dyDescent="0.3">
      <c r="C129" s="1">
        <v>45719</v>
      </c>
      <c r="D129" t="s">
        <v>8</v>
      </c>
      <c r="E129" t="s">
        <v>12</v>
      </c>
      <c r="F129" t="s">
        <v>13</v>
      </c>
      <c r="G129">
        <v>18</v>
      </c>
      <c r="H129" s="4">
        <v>3946</v>
      </c>
      <c r="I129" s="4">
        <v>2791</v>
      </c>
      <c r="J129" s="4">
        <v>71028</v>
      </c>
      <c r="K129" s="4">
        <v>20790</v>
      </c>
      <c r="L129" s="2">
        <v>0.28999999999999998</v>
      </c>
    </row>
    <row r="130" spans="3:12" x14ac:dyDescent="0.3">
      <c r="C130" s="1">
        <v>45694</v>
      </c>
      <c r="D130" t="s">
        <v>14</v>
      </c>
      <c r="E130" t="s">
        <v>12</v>
      </c>
      <c r="F130" t="s">
        <v>10</v>
      </c>
      <c r="G130">
        <v>70</v>
      </c>
      <c r="H130" s="4">
        <v>1242</v>
      </c>
      <c r="I130" s="4">
        <v>1036</v>
      </c>
      <c r="J130" s="4">
        <v>86940</v>
      </c>
      <c r="K130" s="4">
        <v>14420</v>
      </c>
      <c r="L130" s="2">
        <v>0.17</v>
      </c>
    </row>
    <row r="131" spans="3:12" x14ac:dyDescent="0.3">
      <c r="C131" s="1">
        <v>45756</v>
      </c>
      <c r="D131" t="s">
        <v>8</v>
      </c>
      <c r="E131" t="s">
        <v>12</v>
      </c>
      <c r="F131" t="s">
        <v>13</v>
      </c>
      <c r="G131">
        <v>79</v>
      </c>
      <c r="H131" s="4">
        <v>3590</v>
      </c>
      <c r="I131" s="4">
        <v>2125</v>
      </c>
      <c r="J131" s="4">
        <v>283610</v>
      </c>
      <c r="K131" s="4">
        <v>115735</v>
      </c>
      <c r="L131" s="2">
        <v>0.41</v>
      </c>
    </row>
    <row r="132" spans="3:12" x14ac:dyDescent="0.3">
      <c r="C132" s="1">
        <v>45829</v>
      </c>
      <c r="D132" t="s">
        <v>8</v>
      </c>
      <c r="E132" t="s">
        <v>12</v>
      </c>
      <c r="F132" t="s">
        <v>13</v>
      </c>
      <c r="G132">
        <v>55</v>
      </c>
      <c r="H132" s="4">
        <v>2063</v>
      </c>
      <c r="I132" s="4">
        <v>2622</v>
      </c>
      <c r="J132" s="4">
        <v>113465</v>
      </c>
      <c r="K132" s="4">
        <v>-30745</v>
      </c>
      <c r="L132" s="2">
        <v>-0.27</v>
      </c>
    </row>
    <row r="133" spans="3:12" x14ac:dyDescent="0.3">
      <c r="C133" s="1">
        <v>45761</v>
      </c>
      <c r="D133" t="s">
        <v>18</v>
      </c>
      <c r="E133" t="s">
        <v>9</v>
      </c>
      <c r="F133" t="s">
        <v>11</v>
      </c>
      <c r="G133">
        <v>42</v>
      </c>
      <c r="H133" s="4">
        <v>1228</v>
      </c>
      <c r="I133" s="4">
        <v>885</v>
      </c>
      <c r="J133" s="4">
        <v>51576</v>
      </c>
      <c r="K133" s="4">
        <v>14406</v>
      </c>
      <c r="L133" s="2">
        <v>0.28000000000000003</v>
      </c>
    </row>
    <row r="134" spans="3:12" x14ac:dyDescent="0.3">
      <c r="C134" s="1">
        <v>45692</v>
      </c>
      <c r="D134" t="s">
        <v>14</v>
      </c>
      <c r="E134" t="s">
        <v>9</v>
      </c>
      <c r="F134" t="s">
        <v>11</v>
      </c>
      <c r="G134">
        <v>68</v>
      </c>
      <c r="H134" s="4">
        <v>3595</v>
      </c>
      <c r="I134" s="4">
        <v>974</v>
      </c>
      <c r="J134" s="4">
        <v>244460</v>
      </c>
      <c r="K134" s="4">
        <v>178228</v>
      </c>
      <c r="L134" s="2">
        <v>0.73</v>
      </c>
    </row>
    <row r="135" spans="3:12" x14ac:dyDescent="0.3">
      <c r="C135" s="1">
        <v>45850</v>
      </c>
      <c r="D135" t="s">
        <v>8</v>
      </c>
      <c r="E135" t="s">
        <v>12</v>
      </c>
      <c r="F135" t="s">
        <v>11</v>
      </c>
      <c r="G135">
        <v>42</v>
      </c>
      <c r="H135" s="4">
        <v>1919</v>
      </c>
      <c r="I135" s="4">
        <v>917</v>
      </c>
      <c r="J135" s="4">
        <v>80598</v>
      </c>
      <c r="K135" s="4">
        <v>42084</v>
      </c>
      <c r="L135" s="2">
        <v>0.52</v>
      </c>
    </row>
    <row r="136" spans="3:12" x14ac:dyDescent="0.3">
      <c r="C136" s="1">
        <v>45758</v>
      </c>
      <c r="D136" t="s">
        <v>8</v>
      </c>
      <c r="E136" t="s">
        <v>16</v>
      </c>
      <c r="F136" t="s">
        <v>13</v>
      </c>
      <c r="G136">
        <v>54</v>
      </c>
      <c r="H136" s="4">
        <v>2246</v>
      </c>
      <c r="I136" s="4">
        <v>2894</v>
      </c>
      <c r="J136" s="4">
        <v>121284</v>
      </c>
      <c r="K136" s="4">
        <v>-34992</v>
      </c>
      <c r="L136" s="2">
        <v>-0.28999999999999998</v>
      </c>
    </row>
    <row r="137" spans="3:12" x14ac:dyDescent="0.3">
      <c r="C137" s="1">
        <v>45832</v>
      </c>
      <c r="D137" t="s">
        <v>17</v>
      </c>
      <c r="E137" t="s">
        <v>12</v>
      </c>
      <c r="F137" t="s">
        <v>10</v>
      </c>
      <c r="G137">
        <v>86</v>
      </c>
      <c r="H137" s="4">
        <v>1005</v>
      </c>
      <c r="I137" s="4">
        <v>1438</v>
      </c>
      <c r="J137" s="4">
        <v>86430</v>
      </c>
      <c r="K137" s="4">
        <v>-37238</v>
      </c>
      <c r="L137" s="2">
        <v>-0.43</v>
      </c>
    </row>
    <row r="138" spans="3:12" x14ac:dyDescent="0.3">
      <c r="C138" s="1">
        <v>45788</v>
      </c>
      <c r="D138" t="s">
        <v>8</v>
      </c>
      <c r="E138" t="s">
        <v>9</v>
      </c>
      <c r="F138" t="s">
        <v>15</v>
      </c>
      <c r="G138">
        <v>34</v>
      </c>
      <c r="H138" s="4">
        <v>4393</v>
      </c>
      <c r="I138" s="4">
        <v>1454</v>
      </c>
      <c r="J138" s="4">
        <v>149362</v>
      </c>
      <c r="K138" s="4">
        <v>99926</v>
      </c>
      <c r="L138" s="2">
        <v>0.67</v>
      </c>
    </row>
    <row r="139" spans="3:12" x14ac:dyDescent="0.3">
      <c r="C139" s="1">
        <v>45658</v>
      </c>
      <c r="D139" t="s">
        <v>8</v>
      </c>
      <c r="E139" t="s">
        <v>9</v>
      </c>
      <c r="F139" t="s">
        <v>15</v>
      </c>
      <c r="G139">
        <v>83</v>
      </c>
      <c r="H139" s="4">
        <v>1467</v>
      </c>
      <c r="I139" s="4">
        <v>1375</v>
      </c>
      <c r="J139" s="4">
        <v>121761</v>
      </c>
      <c r="K139" s="4">
        <v>7636</v>
      </c>
      <c r="L139" s="2">
        <v>0.06</v>
      </c>
    </row>
    <row r="140" spans="3:12" x14ac:dyDescent="0.3">
      <c r="C140" s="1">
        <v>45662</v>
      </c>
      <c r="D140" t="s">
        <v>17</v>
      </c>
      <c r="E140" t="s">
        <v>16</v>
      </c>
      <c r="F140" t="s">
        <v>11</v>
      </c>
      <c r="G140">
        <v>95</v>
      </c>
      <c r="H140" s="4">
        <v>2755</v>
      </c>
      <c r="I140" s="4">
        <v>1262</v>
      </c>
      <c r="J140" s="4">
        <v>261725</v>
      </c>
      <c r="K140" s="4">
        <v>141835</v>
      </c>
      <c r="L140" s="2">
        <v>0.54</v>
      </c>
    </row>
    <row r="141" spans="3:12" x14ac:dyDescent="0.3">
      <c r="C141" s="1">
        <v>45799</v>
      </c>
      <c r="D141" t="s">
        <v>18</v>
      </c>
      <c r="E141" t="s">
        <v>9</v>
      </c>
      <c r="F141" t="s">
        <v>11</v>
      </c>
      <c r="G141">
        <v>55</v>
      </c>
      <c r="H141" s="4">
        <v>1074</v>
      </c>
      <c r="I141" s="4">
        <v>1702</v>
      </c>
      <c r="J141" s="4">
        <v>59070</v>
      </c>
      <c r="K141" s="4">
        <v>-34540</v>
      </c>
      <c r="L141" s="2">
        <v>-0.57999999999999996</v>
      </c>
    </row>
    <row r="142" spans="3:12" x14ac:dyDescent="0.3">
      <c r="C142" s="1">
        <v>45760</v>
      </c>
      <c r="D142" t="s">
        <v>8</v>
      </c>
      <c r="E142" t="s">
        <v>12</v>
      </c>
      <c r="F142" t="s">
        <v>13</v>
      </c>
      <c r="G142">
        <v>67</v>
      </c>
      <c r="H142" s="4">
        <v>1003</v>
      </c>
      <c r="I142" s="4">
        <v>1705</v>
      </c>
      <c r="J142" s="4">
        <v>67201</v>
      </c>
      <c r="K142" s="4">
        <v>-47034</v>
      </c>
      <c r="L142" s="2">
        <v>-0.7</v>
      </c>
    </row>
    <row r="143" spans="3:12" x14ac:dyDescent="0.3">
      <c r="C143" s="1">
        <v>45684</v>
      </c>
      <c r="D143" t="s">
        <v>17</v>
      </c>
      <c r="E143" t="s">
        <v>16</v>
      </c>
      <c r="F143" t="s">
        <v>15</v>
      </c>
      <c r="G143">
        <v>56</v>
      </c>
      <c r="H143" s="4">
        <v>2870</v>
      </c>
      <c r="I143" s="4">
        <v>1163</v>
      </c>
      <c r="J143" s="4">
        <v>160720</v>
      </c>
      <c r="K143" s="4">
        <v>95592</v>
      </c>
      <c r="L143" s="2">
        <v>0.59</v>
      </c>
    </row>
    <row r="144" spans="3:12" x14ac:dyDescent="0.3">
      <c r="C144" s="1">
        <v>45794</v>
      </c>
      <c r="D144" t="s">
        <v>14</v>
      </c>
      <c r="E144" t="s">
        <v>12</v>
      </c>
      <c r="F144" t="s">
        <v>11</v>
      </c>
      <c r="G144">
        <v>42</v>
      </c>
      <c r="H144" s="4">
        <v>1645</v>
      </c>
      <c r="I144" s="4">
        <v>524</v>
      </c>
      <c r="J144" s="4">
        <v>69090</v>
      </c>
      <c r="K144" s="4">
        <v>47082</v>
      </c>
      <c r="L144" s="2">
        <v>0.68</v>
      </c>
    </row>
    <row r="145" spans="3:12" x14ac:dyDescent="0.3">
      <c r="C145" s="1">
        <v>45672</v>
      </c>
      <c r="D145" t="s">
        <v>18</v>
      </c>
      <c r="E145" t="s">
        <v>12</v>
      </c>
      <c r="F145" t="s">
        <v>10</v>
      </c>
      <c r="G145">
        <v>92</v>
      </c>
      <c r="H145" s="4">
        <v>1117</v>
      </c>
      <c r="I145" s="4">
        <v>2490</v>
      </c>
      <c r="J145" s="4">
        <v>102764</v>
      </c>
      <c r="K145" s="4">
        <v>-126316</v>
      </c>
      <c r="L145" s="2">
        <v>-1.23</v>
      </c>
    </row>
    <row r="146" spans="3:12" x14ac:dyDescent="0.3">
      <c r="C146" s="1">
        <v>45747</v>
      </c>
      <c r="D146" t="s">
        <v>14</v>
      </c>
      <c r="E146" t="s">
        <v>16</v>
      </c>
      <c r="F146" t="s">
        <v>10</v>
      </c>
      <c r="G146">
        <v>83</v>
      </c>
      <c r="H146" s="4">
        <v>3928</v>
      </c>
      <c r="I146" s="4">
        <v>1703</v>
      </c>
      <c r="J146" s="4">
        <v>326024</v>
      </c>
      <c r="K146" s="4">
        <v>184675</v>
      </c>
      <c r="L146" s="2">
        <v>0.56999999999999995</v>
      </c>
    </row>
    <row r="147" spans="3:12" x14ac:dyDescent="0.3">
      <c r="C147" s="1">
        <v>45699</v>
      </c>
      <c r="D147" t="s">
        <v>14</v>
      </c>
      <c r="E147" t="s">
        <v>12</v>
      </c>
      <c r="F147" t="s">
        <v>11</v>
      </c>
      <c r="G147">
        <v>34</v>
      </c>
      <c r="H147" s="4">
        <v>2629</v>
      </c>
      <c r="I147" s="4">
        <v>1209</v>
      </c>
      <c r="J147" s="4">
        <v>89386</v>
      </c>
      <c r="K147" s="4">
        <v>48280</v>
      </c>
      <c r="L147" s="2">
        <v>0.54</v>
      </c>
    </row>
    <row r="148" spans="3:12" x14ac:dyDescent="0.3">
      <c r="C148" s="1">
        <v>45781</v>
      </c>
      <c r="D148" t="s">
        <v>17</v>
      </c>
      <c r="E148" t="s">
        <v>9</v>
      </c>
      <c r="F148" t="s">
        <v>11</v>
      </c>
      <c r="G148">
        <v>55</v>
      </c>
      <c r="H148" s="4">
        <v>3551</v>
      </c>
      <c r="I148" s="4">
        <v>2379</v>
      </c>
      <c r="J148" s="4">
        <v>195305</v>
      </c>
      <c r="K148" s="4">
        <v>64460</v>
      </c>
      <c r="L148" s="2">
        <v>0.33</v>
      </c>
    </row>
    <row r="149" spans="3:12" x14ac:dyDescent="0.3">
      <c r="C149" s="1">
        <v>45836</v>
      </c>
      <c r="D149" t="s">
        <v>8</v>
      </c>
      <c r="E149" t="s">
        <v>12</v>
      </c>
      <c r="F149" t="s">
        <v>15</v>
      </c>
      <c r="G149">
        <v>85</v>
      </c>
      <c r="H149" s="4">
        <v>3021</v>
      </c>
      <c r="I149" s="4">
        <v>1684</v>
      </c>
      <c r="J149" s="4">
        <v>256785</v>
      </c>
      <c r="K149" s="4">
        <v>113645</v>
      </c>
      <c r="L149" s="2">
        <v>0.44</v>
      </c>
    </row>
    <row r="150" spans="3:12" x14ac:dyDescent="0.3">
      <c r="C150" s="1">
        <v>45720</v>
      </c>
      <c r="D150" t="s">
        <v>17</v>
      </c>
      <c r="E150" t="s">
        <v>16</v>
      </c>
      <c r="F150" t="s">
        <v>15</v>
      </c>
      <c r="G150">
        <v>9</v>
      </c>
      <c r="H150" s="4">
        <v>1946</v>
      </c>
      <c r="I150" s="4">
        <v>2724</v>
      </c>
      <c r="J150" s="4">
        <v>17514</v>
      </c>
      <c r="K150" s="4">
        <v>-7002</v>
      </c>
      <c r="L150" s="2">
        <v>-0.4</v>
      </c>
    </row>
    <row r="151" spans="3:12" x14ac:dyDescent="0.3">
      <c r="C151" s="1">
        <v>45753</v>
      </c>
      <c r="D151" t="s">
        <v>17</v>
      </c>
      <c r="E151" t="s">
        <v>16</v>
      </c>
      <c r="F151" t="s">
        <v>13</v>
      </c>
      <c r="G151">
        <v>33</v>
      </c>
      <c r="H151" s="4">
        <v>3621</v>
      </c>
      <c r="I151" s="4">
        <v>784</v>
      </c>
      <c r="J151" s="4">
        <v>119493</v>
      </c>
      <c r="K151" s="4">
        <v>93621</v>
      </c>
      <c r="L151" s="2">
        <v>0.78</v>
      </c>
    </row>
    <row r="152" spans="3:12" x14ac:dyDescent="0.3">
      <c r="C152" s="1">
        <v>45709</v>
      </c>
      <c r="D152" t="s">
        <v>17</v>
      </c>
      <c r="E152" t="s">
        <v>16</v>
      </c>
      <c r="F152" t="s">
        <v>15</v>
      </c>
      <c r="G152">
        <v>8</v>
      </c>
      <c r="H152" s="4">
        <v>2464</v>
      </c>
      <c r="I152" s="4">
        <v>562</v>
      </c>
      <c r="J152" s="4">
        <v>19712</v>
      </c>
      <c r="K152" s="4">
        <v>15216</v>
      </c>
      <c r="L152" s="2">
        <v>0.77</v>
      </c>
    </row>
    <row r="153" spans="3:12" x14ac:dyDescent="0.3">
      <c r="C153" s="1">
        <v>45753</v>
      </c>
      <c r="D153" t="s">
        <v>17</v>
      </c>
      <c r="E153" t="s">
        <v>12</v>
      </c>
      <c r="F153" t="s">
        <v>10</v>
      </c>
      <c r="G153">
        <v>14</v>
      </c>
      <c r="H153" s="4">
        <v>1193</v>
      </c>
      <c r="I153" s="4">
        <v>1502</v>
      </c>
      <c r="J153" s="4">
        <v>16702</v>
      </c>
      <c r="K153" s="4">
        <v>-4326</v>
      </c>
      <c r="L153" s="2">
        <v>-0.26</v>
      </c>
    </row>
    <row r="154" spans="3:12" x14ac:dyDescent="0.3">
      <c r="C154" s="1">
        <v>45789</v>
      </c>
      <c r="D154" t="s">
        <v>18</v>
      </c>
      <c r="E154" t="s">
        <v>16</v>
      </c>
      <c r="F154" t="s">
        <v>10</v>
      </c>
      <c r="G154">
        <v>60</v>
      </c>
      <c r="H154" s="4">
        <v>1846</v>
      </c>
      <c r="I154" s="4">
        <v>1161</v>
      </c>
      <c r="J154" s="4">
        <v>110760</v>
      </c>
      <c r="K154" s="4">
        <v>41100</v>
      </c>
      <c r="L154" s="2">
        <v>0.37</v>
      </c>
    </row>
    <row r="155" spans="3:12" x14ac:dyDescent="0.3">
      <c r="C155" s="1">
        <v>45808</v>
      </c>
      <c r="D155" t="s">
        <v>8</v>
      </c>
      <c r="E155" t="s">
        <v>16</v>
      </c>
      <c r="F155" t="s">
        <v>11</v>
      </c>
      <c r="G155">
        <v>21</v>
      </c>
      <c r="H155" s="4">
        <v>3762</v>
      </c>
      <c r="I155" s="4">
        <v>2703</v>
      </c>
      <c r="J155" s="4">
        <v>79002</v>
      </c>
      <c r="K155" s="4">
        <v>22239</v>
      </c>
      <c r="L155" s="2">
        <v>0.28000000000000003</v>
      </c>
    </row>
    <row r="156" spans="3:12" x14ac:dyDescent="0.3">
      <c r="C156" s="1">
        <v>45800</v>
      </c>
      <c r="D156" t="s">
        <v>14</v>
      </c>
      <c r="E156" t="s">
        <v>12</v>
      </c>
      <c r="F156" t="s">
        <v>15</v>
      </c>
      <c r="G156">
        <v>78</v>
      </c>
      <c r="H156" s="4">
        <v>2415</v>
      </c>
      <c r="I156" s="4">
        <v>1992</v>
      </c>
      <c r="J156" s="4">
        <v>188370</v>
      </c>
      <c r="K156" s="4">
        <v>32994</v>
      </c>
      <c r="L156" s="2">
        <v>0.18</v>
      </c>
    </row>
    <row r="157" spans="3:12" x14ac:dyDescent="0.3">
      <c r="C157" s="1">
        <v>45828</v>
      </c>
      <c r="D157" t="s">
        <v>14</v>
      </c>
      <c r="E157" t="s">
        <v>9</v>
      </c>
      <c r="F157" t="s">
        <v>13</v>
      </c>
      <c r="G157">
        <v>21</v>
      </c>
      <c r="H157" s="4">
        <v>4097</v>
      </c>
      <c r="I157" s="4">
        <v>1466</v>
      </c>
      <c r="J157" s="4">
        <v>86037</v>
      </c>
      <c r="K157" s="4">
        <v>55251</v>
      </c>
      <c r="L157" s="2">
        <v>0.64</v>
      </c>
    </row>
    <row r="158" spans="3:12" x14ac:dyDescent="0.3">
      <c r="C158" s="1">
        <v>45686</v>
      </c>
      <c r="D158" t="s">
        <v>8</v>
      </c>
      <c r="E158" t="s">
        <v>12</v>
      </c>
      <c r="F158" t="s">
        <v>10</v>
      </c>
      <c r="G158">
        <v>88</v>
      </c>
      <c r="H158" s="4">
        <v>2458</v>
      </c>
      <c r="I158" s="4">
        <v>1348</v>
      </c>
      <c r="J158" s="4">
        <v>216304</v>
      </c>
      <c r="K158" s="4">
        <v>97680</v>
      </c>
      <c r="L158" s="2">
        <v>0.45</v>
      </c>
    </row>
    <row r="159" spans="3:12" x14ac:dyDescent="0.3">
      <c r="C159" s="1">
        <v>45693</v>
      </c>
      <c r="D159" t="s">
        <v>14</v>
      </c>
      <c r="E159" t="s">
        <v>16</v>
      </c>
      <c r="F159" t="s">
        <v>10</v>
      </c>
      <c r="G159">
        <v>92</v>
      </c>
      <c r="H159" s="4">
        <v>3220</v>
      </c>
      <c r="I159" s="4">
        <v>1607</v>
      </c>
      <c r="J159" s="4">
        <v>296240</v>
      </c>
      <c r="K159" s="4">
        <v>148396</v>
      </c>
      <c r="L159" s="2">
        <v>0.5</v>
      </c>
    </row>
    <row r="160" spans="3:12" x14ac:dyDescent="0.3">
      <c r="C160" s="1">
        <v>45670</v>
      </c>
      <c r="D160" t="s">
        <v>8</v>
      </c>
      <c r="E160" t="s">
        <v>16</v>
      </c>
      <c r="F160" t="s">
        <v>13</v>
      </c>
      <c r="G160">
        <v>73</v>
      </c>
      <c r="H160" s="4">
        <v>4371</v>
      </c>
      <c r="I160" s="4">
        <v>1188</v>
      </c>
      <c r="J160" s="4">
        <v>319083</v>
      </c>
      <c r="K160" s="4">
        <v>232359</v>
      </c>
      <c r="L160" s="2">
        <v>0.73</v>
      </c>
    </row>
    <row r="161" spans="3:12" x14ac:dyDescent="0.3">
      <c r="C161" s="1">
        <v>45817</v>
      </c>
      <c r="D161" t="s">
        <v>14</v>
      </c>
      <c r="E161" t="s">
        <v>12</v>
      </c>
      <c r="F161" t="s">
        <v>13</v>
      </c>
      <c r="G161">
        <v>38</v>
      </c>
      <c r="H161" s="4">
        <v>2668</v>
      </c>
      <c r="I161" s="4">
        <v>647</v>
      </c>
      <c r="J161" s="4">
        <v>101384</v>
      </c>
      <c r="K161" s="4">
        <v>76798</v>
      </c>
      <c r="L161" s="2">
        <v>0.76</v>
      </c>
    </row>
    <row r="162" spans="3:12" x14ac:dyDescent="0.3">
      <c r="C162" s="1">
        <v>45728</v>
      </c>
      <c r="D162" t="s">
        <v>17</v>
      </c>
      <c r="E162" t="s">
        <v>9</v>
      </c>
      <c r="F162" t="s">
        <v>10</v>
      </c>
      <c r="G162">
        <v>10</v>
      </c>
      <c r="H162" s="4">
        <v>3373</v>
      </c>
      <c r="I162" s="4">
        <v>841</v>
      </c>
      <c r="J162" s="4">
        <v>33730</v>
      </c>
      <c r="K162" s="4">
        <v>25320</v>
      </c>
      <c r="L162" s="2">
        <v>0.75</v>
      </c>
    </row>
    <row r="163" spans="3:12" x14ac:dyDescent="0.3">
      <c r="C163" s="1">
        <v>45844</v>
      </c>
      <c r="D163" t="s">
        <v>14</v>
      </c>
      <c r="E163" t="s">
        <v>16</v>
      </c>
      <c r="F163" t="s">
        <v>10</v>
      </c>
      <c r="G163">
        <v>57</v>
      </c>
      <c r="H163" s="4">
        <v>2433</v>
      </c>
      <c r="I163" s="4">
        <v>1586</v>
      </c>
      <c r="J163" s="4">
        <v>138681</v>
      </c>
      <c r="K163" s="4">
        <v>48279</v>
      </c>
      <c r="L163" s="2">
        <v>0.35</v>
      </c>
    </row>
    <row r="164" spans="3:12" x14ac:dyDescent="0.3">
      <c r="C164" s="1">
        <v>45743</v>
      </c>
      <c r="D164" t="s">
        <v>8</v>
      </c>
      <c r="E164" t="s">
        <v>16</v>
      </c>
      <c r="F164" t="s">
        <v>13</v>
      </c>
      <c r="G164">
        <v>70</v>
      </c>
      <c r="H164" s="4">
        <v>2141</v>
      </c>
      <c r="I164" s="4">
        <v>2224</v>
      </c>
      <c r="J164" s="4">
        <v>149870</v>
      </c>
      <c r="K164" s="4">
        <v>-5810</v>
      </c>
      <c r="L164" s="2">
        <v>-0.04</v>
      </c>
    </row>
    <row r="165" spans="3:12" x14ac:dyDescent="0.3">
      <c r="C165" s="1">
        <v>45685</v>
      </c>
      <c r="D165" t="s">
        <v>8</v>
      </c>
      <c r="E165" t="s">
        <v>16</v>
      </c>
      <c r="F165" t="s">
        <v>10</v>
      </c>
      <c r="G165">
        <v>81</v>
      </c>
      <c r="H165" s="4">
        <v>3883</v>
      </c>
      <c r="I165" s="4">
        <v>1883</v>
      </c>
      <c r="J165" s="4">
        <v>314523</v>
      </c>
      <c r="K165" s="4">
        <v>162000</v>
      </c>
      <c r="L165" s="2">
        <v>0.52</v>
      </c>
    </row>
    <row r="166" spans="3:12" x14ac:dyDescent="0.3">
      <c r="C166" s="1">
        <v>45723</v>
      </c>
      <c r="D166" t="s">
        <v>8</v>
      </c>
      <c r="E166" t="s">
        <v>12</v>
      </c>
      <c r="F166" t="s">
        <v>11</v>
      </c>
      <c r="G166">
        <v>47</v>
      </c>
      <c r="H166" s="4">
        <v>2810</v>
      </c>
      <c r="I166" s="4">
        <v>826</v>
      </c>
      <c r="J166" s="4">
        <v>132070</v>
      </c>
      <c r="K166" s="4">
        <v>93248</v>
      </c>
      <c r="L166" s="2">
        <v>0.71</v>
      </c>
    </row>
    <row r="167" spans="3:12" x14ac:dyDescent="0.3">
      <c r="C167" s="1">
        <v>45827</v>
      </c>
      <c r="D167" t="s">
        <v>8</v>
      </c>
      <c r="E167" t="s">
        <v>16</v>
      </c>
      <c r="F167" t="s">
        <v>11</v>
      </c>
      <c r="G167">
        <v>79</v>
      </c>
      <c r="H167" s="4">
        <v>1723</v>
      </c>
      <c r="I167" s="4">
        <v>2292</v>
      </c>
      <c r="J167" s="4">
        <v>136117</v>
      </c>
      <c r="K167" s="4">
        <v>-44951</v>
      </c>
      <c r="L167" s="2">
        <v>-0.33</v>
      </c>
    </row>
    <row r="168" spans="3:12" x14ac:dyDescent="0.3">
      <c r="C168" s="1">
        <v>45702</v>
      </c>
      <c r="D168" t="s">
        <v>8</v>
      </c>
      <c r="E168" t="s">
        <v>9</v>
      </c>
      <c r="F168" t="s">
        <v>13</v>
      </c>
      <c r="G168">
        <v>27</v>
      </c>
      <c r="H168" s="4">
        <v>1224</v>
      </c>
      <c r="I168" s="4">
        <v>2259</v>
      </c>
      <c r="J168" s="4">
        <v>33048</v>
      </c>
      <c r="K168" s="4">
        <v>-27945</v>
      </c>
      <c r="L168" s="2">
        <v>-0.85</v>
      </c>
    </row>
    <row r="169" spans="3:12" x14ac:dyDescent="0.3">
      <c r="C169" s="1">
        <v>45719</v>
      </c>
      <c r="D169" t="s">
        <v>18</v>
      </c>
      <c r="E169" t="s">
        <v>16</v>
      </c>
      <c r="F169" t="s">
        <v>15</v>
      </c>
      <c r="G169">
        <v>59</v>
      </c>
      <c r="H169" s="4">
        <v>1531</v>
      </c>
      <c r="I169" s="4">
        <v>1489</v>
      </c>
      <c r="J169" s="4">
        <v>90329</v>
      </c>
      <c r="K169" s="4">
        <v>2478</v>
      </c>
      <c r="L169" s="2">
        <v>0.03</v>
      </c>
    </row>
    <row r="170" spans="3:12" x14ac:dyDescent="0.3">
      <c r="C170" s="1">
        <v>45842</v>
      </c>
      <c r="D170" t="s">
        <v>18</v>
      </c>
      <c r="E170" t="s">
        <v>16</v>
      </c>
      <c r="F170" t="s">
        <v>13</v>
      </c>
      <c r="G170">
        <v>84</v>
      </c>
      <c r="H170" s="4">
        <v>1112</v>
      </c>
      <c r="I170" s="4">
        <v>2762</v>
      </c>
      <c r="J170" s="4">
        <v>93408</v>
      </c>
      <c r="K170" s="4">
        <v>-138600</v>
      </c>
      <c r="L170" s="2">
        <v>-1.48</v>
      </c>
    </row>
    <row r="171" spans="3:12" x14ac:dyDescent="0.3">
      <c r="C171" s="1">
        <v>45791</v>
      </c>
      <c r="D171" t="s">
        <v>14</v>
      </c>
      <c r="E171" t="s">
        <v>9</v>
      </c>
      <c r="F171" t="s">
        <v>13</v>
      </c>
      <c r="G171">
        <v>99</v>
      </c>
      <c r="H171" s="4">
        <v>3187</v>
      </c>
      <c r="I171" s="4">
        <v>2982</v>
      </c>
      <c r="J171" s="4">
        <v>315513</v>
      </c>
      <c r="K171" s="4">
        <v>20295</v>
      </c>
      <c r="L171" s="2">
        <v>0.06</v>
      </c>
    </row>
    <row r="172" spans="3:12" x14ac:dyDescent="0.3">
      <c r="C172" s="1">
        <v>45685</v>
      </c>
      <c r="D172" t="s">
        <v>8</v>
      </c>
      <c r="E172" t="s">
        <v>16</v>
      </c>
      <c r="F172" t="s">
        <v>15</v>
      </c>
      <c r="G172">
        <v>79</v>
      </c>
      <c r="H172" s="4">
        <v>1558</v>
      </c>
      <c r="I172" s="4">
        <v>1451</v>
      </c>
      <c r="J172" s="4">
        <v>123082</v>
      </c>
      <c r="K172" s="4">
        <v>8453</v>
      </c>
      <c r="L172" s="2">
        <v>7.0000000000000007E-2</v>
      </c>
    </row>
    <row r="173" spans="3:12" x14ac:dyDescent="0.3">
      <c r="C173" s="1">
        <v>45685</v>
      </c>
      <c r="D173" t="s">
        <v>14</v>
      </c>
      <c r="E173" t="s">
        <v>12</v>
      </c>
      <c r="F173" t="s">
        <v>15</v>
      </c>
      <c r="G173">
        <v>20</v>
      </c>
      <c r="H173" s="4">
        <v>3048</v>
      </c>
      <c r="I173" s="4">
        <v>1222</v>
      </c>
      <c r="J173" s="4">
        <v>60960</v>
      </c>
      <c r="K173" s="4">
        <v>36520</v>
      </c>
      <c r="L173" s="2">
        <v>0.6</v>
      </c>
    </row>
    <row r="174" spans="3:12" x14ac:dyDescent="0.3">
      <c r="C174" s="1">
        <v>45765</v>
      </c>
      <c r="D174" t="s">
        <v>8</v>
      </c>
      <c r="E174" t="s">
        <v>12</v>
      </c>
      <c r="F174" t="s">
        <v>15</v>
      </c>
      <c r="G174">
        <v>12</v>
      </c>
      <c r="H174" s="4">
        <v>3137</v>
      </c>
      <c r="I174" s="4">
        <v>2579</v>
      </c>
      <c r="J174" s="4">
        <v>37644</v>
      </c>
      <c r="K174" s="4">
        <v>6696</v>
      </c>
      <c r="L174" s="2">
        <v>0.18</v>
      </c>
    </row>
    <row r="175" spans="3:12" x14ac:dyDescent="0.3">
      <c r="C175" s="1">
        <v>45701</v>
      </c>
      <c r="D175" t="s">
        <v>8</v>
      </c>
      <c r="E175" t="s">
        <v>12</v>
      </c>
      <c r="F175" t="s">
        <v>11</v>
      </c>
      <c r="G175">
        <v>8</v>
      </c>
      <c r="H175" s="4">
        <v>1653</v>
      </c>
      <c r="I175" s="4">
        <v>2832</v>
      </c>
      <c r="J175" s="4">
        <v>13224</v>
      </c>
      <c r="K175" s="4">
        <v>-9432</v>
      </c>
      <c r="L175" s="2">
        <v>-0.71</v>
      </c>
    </row>
    <row r="176" spans="3:12" x14ac:dyDescent="0.3">
      <c r="C176" s="1">
        <v>45741</v>
      </c>
      <c r="D176" t="s">
        <v>18</v>
      </c>
      <c r="E176" t="s">
        <v>9</v>
      </c>
      <c r="F176" t="s">
        <v>10</v>
      </c>
      <c r="G176">
        <v>8</v>
      </c>
      <c r="H176" s="4">
        <v>1319</v>
      </c>
      <c r="I176" s="4">
        <v>928</v>
      </c>
      <c r="J176" s="4">
        <v>10552</v>
      </c>
      <c r="K176" s="4">
        <v>3128</v>
      </c>
      <c r="L176" s="2">
        <v>0.3</v>
      </c>
    </row>
    <row r="177" spans="3:12" x14ac:dyDescent="0.3">
      <c r="C177" s="1">
        <v>45687</v>
      </c>
      <c r="D177" t="s">
        <v>18</v>
      </c>
      <c r="E177" t="s">
        <v>16</v>
      </c>
      <c r="F177" t="s">
        <v>11</v>
      </c>
      <c r="G177">
        <v>60</v>
      </c>
      <c r="H177" s="4">
        <v>2573</v>
      </c>
      <c r="I177" s="4">
        <v>2000</v>
      </c>
      <c r="J177" s="4">
        <v>154380</v>
      </c>
      <c r="K177" s="4">
        <v>34380</v>
      </c>
      <c r="L177" s="2">
        <v>0.22</v>
      </c>
    </row>
    <row r="178" spans="3:12" x14ac:dyDescent="0.3">
      <c r="C178" s="1">
        <v>45847</v>
      </c>
      <c r="D178" t="s">
        <v>17</v>
      </c>
      <c r="E178" t="s">
        <v>12</v>
      </c>
      <c r="F178" t="s">
        <v>10</v>
      </c>
      <c r="G178">
        <v>29</v>
      </c>
      <c r="H178" s="4">
        <v>2828</v>
      </c>
      <c r="I178" s="4">
        <v>785</v>
      </c>
      <c r="J178" s="4">
        <v>82012</v>
      </c>
      <c r="K178" s="4">
        <v>59247</v>
      </c>
      <c r="L178" s="2">
        <v>0.72</v>
      </c>
    </row>
    <row r="179" spans="3:12" x14ac:dyDescent="0.3">
      <c r="C179" s="1">
        <v>45732</v>
      </c>
      <c r="D179" t="s">
        <v>18</v>
      </c>
      <c r="E179" t="s">
        <v>9</v>
      </c>
      <c r="F179" t="s">
        <v>11</v>
      </c>
      <c r="G179">
        <v>71</v>
      </c>
      <c r="H179" s="4">
        <v>2917</v>
      </c>
      <c r="I179" s="4">
        <v>2565</v>
      </c>
      <c r="J179" s="4">
        <v>207107</v>
      </c>
      <c r="K179" s="4">
        <v>24992</v>
      </c>
      <c r="L179" s="2">
        <v>0.12</v>
      </c>
    </row>
    <row r="180" spans="3:12" x14ac:dyDescent="0.3">
      <c r="C180" s="1">
        <v>45785</v>
      </c>
      <c r="D180" t="s">
        <v>17</v>
      </c>
      <c r="E180" t="s">
        <v>16</v>
      </c>
      <c r="F180" t="s">
        <v>10</v>
      </c>
      <c r="G180">
        <v>71</v>
      </c>
      <c r="H180" s="4">
        <v>1138</v>
      </c>
      <c r="I180" s="4">
        <v>1268</v>
      </c>
      <c r="J180" s="4">
        <v>80798</v>
      </c>
      <c r="K180" s="4">
        <v>-9230</v>
      </c>
      <c r="L180" s="2">
        <v>-0.11</v>
      </c>
    </row>
    <row r="181" spans="3:12" x14ac:dyDescent="0.3">
      <c r="C181" s="1">
        <v>45749</v>
      </c>
      <c r="D181" t="s">
        <v>17</v>
      </c>
      <c r="E181" t="s">
        <v>9</v>
      </c>
      <c r="F181" t="s">
        <v>11</v>
      </c>
      <c r="G181">
        <v>31</v>
      </c>
      <c r="H181" s="4">
        <v>4582</v>
      </c>
      <c r="I181" s="4">
        <v>1894</v>
      </c>
      <c r="J181" s="4">
        <v>142042</v>
      </c>
      <c r="K181" s="4">
        <v>83328</v>
      </c>
      <c r="L181" s="2">
        <v>0.59</v>
      </c>
    </row>
    <row r="182" spans="3:12" x14ac:dyDescent="0.3">
      <c r="C182" s="1">
        <v>45847</v>
      </c>
      <c r="D182" t="s">
        <v>17</v>
      </c>
      <c r="E182" t="s">
        <v>12</v>
      </c>
      <c r="F182" t="s">
        <v>15</v>
      </c>
      <c r="G182">
        <v>97</v>
      </c>
      <c r="H182" s="4">
        <v>4939</v>
      </c>
      <c r="I182" s="4">
        <v>693</v>
      </c>
      <c r="J182" s="4">
        <v>479083</v>
      </c>
      <c r="K182" s="4">
        <v>411862</v>
      </c>
      <c r="L182" s="2">
        <v>0.86</v>
      </c>
    </row>
    <row r="183" spans="3:12" x14ac:dyDescent="0.3">
      <c r="C183" s="1">
        <v>45786</v>
      </c>
      <c r="D183" t="s">
        <v>17</v>
      </c>
      <c r="E183" t="s">
        <v>12</v>
      </c>
      <c r="F183" t="s">
        <v>13</v>
      </c>
      <c r="G183">
        <v>36</v>
      </c>
      <c r="H183" s="4">
        <v>3892</v>
      </c>
      <c r="I183" s="4">
        <v>1487</v>
      </c>
      <c r="J183" s="4">
        <v>140112</v>
      </c>
      <c r="K183" s="4">
        <v>86580</v>
      </c>
      <c r="L183" s="2">
        <v>0.62</v>
      </c>
    </row>
    <row r="184" spans="3:12" x14ac:dyDescent="0.3">
      <c r="C184" s="1">
        <v>45778</v>
      </c>
      <c r="D184" t="s">
        <v>17</v>
      </c>
      <c r="E184" t="s">
        <v>12</v>
      </c>
      <c r="F184" t="s">
        <v>11</v>
      </c>
      <c r="G184">
        <v>54</v>
      </c>
      <c r="H184" s="4">
        <v>3026</v>
      </c>
      <c r="I184" s="4">
        <v>1636</v>
      </c>
      <c r="J184" s="4">
        <v>163404</v>
      </c>
      <c r="K184" s="4">
        <v>75060</v>
      </c>
      <c r="L184" s="2">
        <v>0.46</v>
      </c>
    </row>
    <row r="185" spans="3:12" x14ac:dyDescent="0.3">
      <c r="C185" s="1">
        <v>45684</v>
      </c>
      <c r="D185" t="s">
        <v>14</v>
      </c>
      <c r="E185" t="s">
        <v>9</v>
      </c>
      <c r="F185" t="s">
        <v>10</v>
      </c>
      <c r="G185">
        <v>65</v>
      </c>
      <c r="H185" s="4">
        <v>3306</v>
      </c>
      <c r="I185" s="4">
        <v>2661</v>
      </c>
      <c r="J185" s="4">
        <v>214890</v>
      </c>
      <c r="K185" s="4">
        <v>41925</v>
      </c>
      <c r="L185" s="2">
        <v>0.2</v>
      </c>
    </row>
    <row r="186" spans="3:12" x14ac:dyDescent="0.3">
      <c r="C186" s="1">
        <v>45847</v>
      </c>
      <c r="D186" t="s">
        <v>18</v>
      </c>
      <c r="E186" t="s">
        <v>9</v>
      </c>
      <c r="F186" t="s">
        <v>15</v>
      </c>
      <c r="G186">
        <v>55</v>
      </c>
      <c r="H186" s="4">
        <v>4744</v>
      </c>
      <c r="I186" s="4">
        <v>2201</v>
      </c>
      <c r="J186" s="4">
        <v>260920</v>
      </c>
      <c r="K186" s="4">
        <v>139865</v>
      </c>
      <c r="L186" s="2">
        <v>0.54</v>
      </c>
    </row>
    <row r="187" spans="3:12" x14ac:dyDescent="0.3">
      <c r="C187" s="1">
        <v>45778</v>
      </c>
      <c r="D187" t="s">
        <v>17</v>
      </c>
      <c r="E187" t="s">
        <v>12</v>
      </c>
      <c r="F187" t="s">
        <v>11</v>
      </c>
      <c r="G187">
        <v>23</v>
      </c>
      <c r="H187" s="4">
        <v>1901</v>
      </c>
      <c r="I187" s="4">
        <v>1446</v>
      </c>
      <c r="J187" s="4">
        <v>43723</v>
      </c>
      <c r="K187" s="4">
        <v>10465</v>
      </c>
      <c r="L187" s="2">
        <v>0.24</v>
      </c>
    </row>
    <row r="188" spans="3:12" x14ac:dyDescent="0.3">
      <c r="C188" s="1">
        <v>45773</v>
      </c>
      <c r="D188" t="s">
        <v>8</v>
      </c>
      <c r="E188" t="s">
        <v>9</v>
      </c>
      <c r="F188" t="s">
        <v>11</v>
      </c>
      <c r="G188">
        <v>25</v>
      </c>
      <c r="H188" s="4">
        <v>1689</v>
      </c>
      <c r="I188" s="4">
        <v>1330</v>
      </c>
      <c r="J188" s="4">
        <v>42225</v>
      </c>
      <c r="K188" s="4">
        <v>8975</v>
      </c>
      <c r="L188" s="2">
        <v>0.21</v>
      </c>
    </row>
    <row r="189" spans="3:12" x14ac:dyDescent="0.3">
      <c r="C189" s="1">
        <v>45660</v>
      </c>
      <c r="D189" t="s">
        <v>18</v>
      </c>
      <c r="E189" t="s">
        <v>12</v>
      </c>
      <c r="F189" t="s">
        <v>15</v>
      </c>
      <c r="G189">
        <v>9</v>
      </c>
      <c r="H189" s="4">
        <v>3039</v>
      </c>
      <c r="I189" s="4">
        <v>2420</v>
      </c>
      <c r="J189" s="4">
        <v>27351</v>
      </c>
      <c r="K189" s="4">
        <v>5571</v>
      </c>
      <c r="L189" s="2">
        <v>0.2</v>
      </c>
    </row>
    <row r="190" spans="3:12" x14ac:dyDescent="0.3">
      <c r="C190" s="1">
        <v>45760</v>
      </c>
      <c r="D190" t="s">
        <v>18</v>
      </c>
      <c r="E190" t="s">
        <v>12</v>
      </c>
      <c r="F190" t="s">
        <v>11</v>
      </c>
      <c r="G190">
        <v>86</v>
      </c>
      <c r="H190" s="4">
        <v>1009</v>
      </c>
      <c r="I190" s="4">
        <v>554</v>
      </c>
      <c r="J190" s="4">
        <v>86774</v>
      </c>
      <c r="K190" s="4">
        <v>39130</v>
      </c>
      <c r="L190" s="2">
        <v>0.45</v>
      </c>
    </row>
    <row r="191" spans="3:12" x14ac:dyDescent="0.3">
      <c r="C191" s="1">
        <v>45855</v>
      </c>
      <c r="D191" t="s">
        <v>17</v>
      </c>
      <c r="E191" t="s">
        <v>16</v>
      </c>
      <c r="F191" t="s">
        <v>13</v>
      </c>
      <c r="G191">
        <v>96</v>
      </c>
      <c r="H191" s="4">
        <v>1260</v>
      </c>
      <c r="I191" s="4">
        <v>1299</v>
      </c>
      <c r="J191" s="4">
        <v>120960</v>
      </c>
      <c r="K191" s="4">
        <v>-3744</v>
      </c>
      <c r="L191" s="2">
        <v>-0.03</v>
      </c>
    </row>
    <row r="192" spans="3:12" x14ac:dyDescent="0.3">
      <c r="C192" s="1">
        <v>45857</v>
      </c>
      <c r="D192" t="s">
        <v>14</v>
      </c>
      <c r="E192" t="s">
        <v>9</v>
      </c>
      <c r="F192" t="s">
        <v>11</v>
      </c>
      <c r="G192">
        <v>46</v>
      </c>
      <c r="H192" s="4">
        <v>2942</v>
      </c>
      <c r="I192" s="4">
        <v>1277</v>
      </c>
      <c r="J192" s="4">
        <v>135332</v>
      </c>
      <c r="K192" s="4">
        <v>76590</v>
      </c>
      <c r="L192" s="2">
        <v>0.56999999999999995</v>
      </c>
    </row>
    <row r="193" spans="3:12" x14ac:dyDescent="0.3">
      <c r="C193" s="1">
        <v>45812</v>
      </c>
      <c r="D193" t="s">
        <v>17</v>
      </c>
      <c r="E193" t="s">
        <v>12</v>
      </c>
      <c r="F193" t="s">
        <v>13</v>
      </c>
      <c r="G193">
        <v>65</v>
      </c>
      <c r="H193" s="4">
        <v>2673</v>
      </c>
      <c r="I193" s="4">
        <v>1981</v>
      </c>
      <c r="J193" s="4">
        <v>173745</v>
      </c>
      <c r="K193" s="4">
        <v>44980</v>
      </c>
      <c r="L193" s="2">
        <v>0.26</v>
      </c>
    </row>
    <row r="194" spans="3:12" x14ac:dyDescent="0.3">
      <c r="C194" s="1">
        <v>45794</v>
      </c>
      <c r="D194" t="s">
        <v>14</v>
      </c>
      <c r="E194" t="s">
        <v>12</v>
      </c>
      <c r="F194" t="s">
        <v>13</v>
      </c>
      <c r="G194">
        <v>26</v>
      </c>
      <c r="H194" s="4">
        <v>3219</v>
      </c>
      <c r="I194" s="4">
        <v>2401</v>
      </c>
      <c r="J194" s="4">
        <v>83694</v>
      </c>
      <c r="K194" s="4">
        <v>21268</v>
      </c>
      <c r="L194" s="2">
        <v>0.25</v>
      </c>
    </row>
    <row r="195" spans="3:12" x14ac:dyDescent="0.3">
      <c r="C195" s="1">
        <v>45719</v>
      </c>
      <c r="D195" t="s">
        <v>8</v>
      </c>
      <c r="E195" t="s">
        <v>9</v>
      </c>
      <c r="F195" t="s">
        <v>15</v>
      </c>
      <c r="G195">
        <v>25</v>
      </c>
      <c r="H195" s="4">
        <v>3945</v>
      </c>
      <c r="I195" s="4">
        <v>2709</v>
      </c>
      <c r="J195" s="4">
        <v>98625</v>
      </c>
      <c r="K195" s="4">
        <v>30900</v>
      </c>
      <c r="L195" s="2">
        <v>0.31</v>
      </c>
    </row>
    <row r="196" spans="3:12" x14ac:dyDescent="0.3">
      <c r="C196" s="1">
        <v>45822</v>
      </c>
      <c r="D196" t="s">
        <v>18</v>
      </c>
      <c r="E196" t="s">
        <v>16</v>
      </c>
      <c r="F196" t="s">
        <v>11</v>
      </c>
      <c r="G196">
        <v>74</v>
      </c>
      <c r="H196" s="4">
        <v>3060</v>
      </c>
      <c r="I196" s="4">
        <v>2634</v>
      </c>
      <c r="J196" s="4">
        <v>226440</v>
      </c>
      <c r="K196" s="4">
        <v>31524</v>
      </c>
      <c r="L196" s="2">
        <v>0.14000000000000001</v>
      </c>
    </row>
    <row r="197" spans="3:12" x14ac:dyDescent="0.3">
      <c r="C197" s="1">
        <v>45708</v>
      </c>
      <c r="D197" t="s">
        <v>8</v>
      </c>
      <c r="E197" t="s">
        <v>16</v>
      </c>
      <c r="F197" t="s">
        <v>15</v>
      </c>
      <c r="G197">
        <v>5</v>
      </c>
      <c r="H197" s="4">
        <v>2191</v>
      </c>
      <c r="I197" s="4">
        <v>554</v>
      </c>
      <c r="J197" s="4">
        <v>10955</v>
      </c>
      <c r="K197" s="4">
        <v>8185</v>
      </c>
      <c r="L197" s="2">
        <v>0.75</v>
      </c>
    </row>
    <row r="198" spans="3:12" x14ac:dyDescent="0.3">
      <c r="C198" s="1">
        <v>45829</v>
      </c>
      <c r="D198" t="s">
        <v>14</v>
      </c>
      <c r="E198" t="s">
        <v>12</v>
      </c>
      <c r="F198" t="s">
        <v>11</v>
      </c>
      <c r="G198">
        <v>9</v>
      </c>
      <c r="H198" s="4">
        <v>4713</v>
      </c>
      <c r="I198" s="4">
        <v>2323</v>
      </c>
      <c r="J198" s="4">
        <v>42417</v>
      </c>
      <c r="K198" s="4">
        <v>21510</v>
      </c>
      <c r="L198" s="2">
        <v>0.51</v>
      </c>
    </row>
    <row r="199" spans="3:12" x14ac:dyDescent="0.3">
      <c r="C199" s="1">
        <v>45809</v>
      </c>
      <c r="D199" t="s">
        <v>14</v>
      </c>
      <c r="E199" t="s">
        <v>9</v>
      </c>
      <c r="F199" t="s">
        <v>11</v>
      </c>
      <c r="G199">
        <v>16</v>
      </c>
      <c r="H199" s="4">
        <v>2619</v>
      </c>
      <c r="I199" s="4">
        <v>1701</v>
      </c>
      <c r="J199" s="4">
        <v>41904</v>
      </c>
      <c r="K199" s="4">
        <v>14688</v>
      </c>
      <c r="L199" s="2">
        <v>0.35</v>
      </c>
    </row>
    <row r="200" spans="3:12" x14ac:dyDescent="0.3">
      <c r="C200" s="1">
        <v>45716</v>
      </c>
      <c r="D200" t="s">
        <v>8</v>
      </c>
      <c r="E200" t="s">
        <v>16</v>
      </c>
      <c r="F200" t="s">
        <v>10</v>
      </c>
      <c r="G200">
        <v>94</v>
      </c>
      <c r="H200" s="4">
        <v>1320</v>
      </c>
      <c r="I200" s="4">
        <v>1332</v>
      </c>
      <c r="J200" s="4">
        <v>124080</v>
      </c>
      <c r="K200" s="4">
        <v>-1128</v>
      </c>
      <c r="L200" s="2">
        <v>-0.01</v>
      </c>
    </row>
    <row r="201" spans="3:12" x14ac:dyDescent="0.3">
      <c r="C201" s="1">
        <v>45775</v>
      </c>
      <c r="D201" t="s">
        <v>14</v>
      </c>
      <c r="E201" t="s">
        <v>9</v>
      </c>
      <c r="F201" t="s">
        <v>11</v>
      </c>
      <c r="G201">
        <v>50</v>
      </c>
      <c r="H201" s="4">
        <v>2342</v>
      </c>
      <c r="I201" s="4">
        <v>812</v>
      </c>
      <c r="J201" s="4">
        <v>117100</v>
      </c>
      <c r="K201" s="4">
        <v>76500</v>
      </c>
      <c r="L201" s="2">
        <v>0.65</v>
      </c>
    </row>
  </sheetData>
  <autoFilter ref="C1:L201" xr:uid="{4B64F7F1-BF70-49BC-8110-3243070B9E19}"/>
  <conditionalFormatting sqref="C1">
    <cfRule type="cellIs" priority="1" operator="equal">
      <formula>"'' ''"</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D01-211F-465D-9F15-4C5EEDA3A405}">
  <dimension ref="A1:P75"/>
  <sheetViews>
    <sheetView showGridLines="0" showRowColHeaders="0" tabSelected="1" workbookViewId="0"/>
  </sheetViews>
  <sheetFormatPr defaultColWidth="0" defaultRowHeight="14.4" zeroHeight="1" x14ac:dyDescent="0.3"/>
  <cols>
    <col min="1" max="3" width="8.88671875" style="7" customWidth="1"/>
    <col min="4" max="4" width="10.77734375" style="7" bestFit="1" customWidth="1"/>
    <col min="5" max="6" width="15.44140625" style="7" bestFit="1" customWidth="1"/>
    <col min="7" max="8" width="12.44140625" style="7" bestFit="1" customWidth="1"/>
    <col min="9" max="9" width="8.88671875" style="7" customWidth="1"/>
    <col min="10" max="10" width="15.44140625" style="7" bestFit="1" customWidth="1"/>
    <col min="11" max="11" width="12.44140625" style="7" bestFit="1" customWidth="1"/>
    <col min="12" max="12" width="12" style="7" bestFit="1" customWidth="1"/>
    <col min="13" max="13" width="11.44140625" style="7" bestFit="1" customWidth="1"/>
    <col min="14" max="16" width="9.88671875" style="7" bestFit="1" customWidth="1"/>
    <col min="17" max="16384" width="8.88671875" style="7" hidden="1"/>
  </cols>
  <sheetData>
    <row r="1" spans="1:12" x14ac:dyDescent="0.3">
      <c r="A1" s="12"/>
    </row>
    <row r="2" spans="1:12" x14ac:dyDescent="0.3">
      <c r="A2" s="12"/>
    </row>
    <row r="3" spans="1:12" x14ac:dyDescent="0.3">
      <c r="A3" s="12"/>
    </row>
    <row r="4" spans="1:12" x14ac:dyDescent="0.3">
      <c r="A4" s="12"/>
    </row>
    <row r="5" spans="1:12" x14ac:dyDescent="0.3">
      <c r="A5" s="12"/>
      <c r="D5" s="7" t="s">
        <v>1</v>
      </c>
      <c r="E5" s="8" t="s">
        <v>22</v>
      </c>
      <c r="F5" s="9" t="s">
        <v>20</v>
      </c>
      <c r="G5" s="7" t="s">
        <v>23</v>
      </c>
      <c r="J5" s="7" t="s">
        <v>0</v>
      </c>
      <c r="K5" s="8" t="s">
        <v>20</v>
      </c>
      <c r="L5" s="8" t="s">
        <v>22</v>
      </c>
    </row>
    <row r="6" spans="1:12" x14ac:dyDescent="0.3">
      <c r="A6" s="12"/>
      <c r="D6" s="10" t="s">
        <v>14</v>
      </c>
      <c r="E6" s="8">
        <v>2526196</v>
      </c>
      <c r="F6" s="9">
        <v>6778765</v>
      </c>
      <c r="G6" s="11">
        <v>2405</v>
      </c>
      <c r="J6" s="10" t="s">
        <v>25</v>
      </c>
      <c r="K6" s="8">
        <v>4893055</v>
      </c>
      <c r="L6" s="8">
        <v>1811553</v>
      </c>
    </row>
    <row r="7" spans="1:12" x14ac:dyDescent="0.3">
      <c r="A7" s="12"/>
      <c r="D7" s="10" t="s">
        <v>18</v>
      </c>
      <c r="E7" s="8">
        <v>2458330</v>
      </c>
      <c r="F7" s="9">
        <v>7352099</v>
      </c>
      <c r="G7" s="11">
        <v>2414</v>
      </c>
      <c r="J7" s="10" t="s">
        <v>29</v>
      </c>
      <c r="K7" s="8">
        <v>4455387</v>
      </c>
      <c r="L7" s="8">
        <v>1543622</v>
      </c>
    </row>
    <row r="8" spans="1:12" x14ac:dyDescent="0.3">
      <c r="A8" s="12"/>
      <c r="D8" s="10" t="s">
        <v>17</v>
      </c>
      <c r="E8" s="8">
        <v>2812751</v>
      </c>
      <c r="F8" s="9">
        <v>6447553</v>
      </c>
      <c r="G8" s="11">
        <v>2177</v>
      </c>
      <c r="J8" s="10" t="s">
        <v>30</v>
      </c>
      <c r="K8" s="8">
        <v>4441240</v>
      </c>
      <c r="L8" s="8">
        <v>1745573</v>
      </c>
    </row>
    <row r="9" spans="1:12" x14ac:dyDescent="0.3">
      <c r="A9" s="12"/>
      <c r="D9" s="10" t="s">
        <v>8</v>
      </c>
      <c r="E9" s="8">
        <v>2862811</v>
      </c>
      <c r="F9" s="9">
        <v>9015427</v>
      </c>
      <c r="G9" s="11">
        <v>3369</v>
      </c>
      <c r="J9" s="10" t="s">
        <v>31</v>
      </c>
      <c r="K9" s="8">
        <v>2803117</v>
      </c>
      <c r="L9" s="8">
        <v>1068427</v>
      </c>
    </row>
    <row r="10" spans="1:12" x14ac:dyDescent="0.3">
      <c r="A10" s="12"/>
      <c r="D10" s="10" t="s">
        <v>19</v>
      </c>
      <c r="E10" s="8">
        <v>10660088</v>
      </c>
      <c r="F10" s="9">
        <v>29593844</v>
      </c>
      <c r="G10" s="11">
        <v>10365</v>
      </c>
      <c r="J10" s="10" t="s">
        <v>32</v>
      </c>
      <c r="K10" s="8">
        <v>5205528</v>
      </c>
      <c r="L10" s="8">
        <v>1780357</v>
      </c>
    </row>
    <row r="11" spans="1:12" x14ac:dyDescent="0.3">
      <c r="A11" s="12"/>
      <c r="J11" s="10" t="s">
        <v>33</v>
      </c>
      <c r="K11" s="8">
        <v>4266157</v>
      </c>
      <c r="L11" s="8">
        <v>1653064</v>
      </c>
    </row>
    <row r="12" spans="1:12" x14ac:dyDescent="0.3">
      <c r="A12" s="12"/>
      <c r="J12" s="10" t="s">
        <v>34</v>
      </c>
      <c r="K12" s="8">
        <v>3529360</v>
      </c>
      <c r="L12" s="8">
        <v>1057492</v>
      </c>
    </row>
    <row r="13" spans="1:12" x14ac:dyDescent="0.3">
      <c r="A13" s="12"/>
      <c r="J13" s="10" t="s">
        <v>19</v>
      </c>
      <c r="K13" s="8">
        <v>29593844</v>
      </c>
      <c r="L13" s="8">
        <v>10660088</v>
      </c>
    </row>
    <row r="14" spans="1:12" x14ac:dyDescent="0.3">
      <c r="A14" s="12"/>
    </row>
    <row r="15" spans="1:12" x14ac:dyDescent="0.3">
      <c r="A15" s="12"/>
    </row>
    <row r="16" spans="1:12" x14ac:dyDescent="0.3">
      <c r="A16" s="12"/>
    </row>
    <row r="17" spans="1:14" x14ac:dyDescent="0.3">
      <c r="A17" s="12"/>
    </row>
    <row r="18" spans="1:14" x14ac:dyDescent="0.3">
      <c r="A18" s="12"/>
    </row>
    <row r="19" spans="1:14" x14ac:dyDescent="0.3">
      <c r="A19" s="12"/>
      <c r="D19" s="7" t="s">
        <v>2</v>
      </c>
      <c r="E19" s="8" t="s">
        <v>20</v>
      </c>
      <c r="F19" s="7" t="s">
        <v>24</v>
      </c>
      <c r="G19" s="8" t="s">
        <v>22</v>
      </c>
      <c r="J19" s="7" t="s">
        <v>20</v>
      </c>
      <c r="L19" s="7" t="s">
        <v>22</v>
      </c>
      <c r="N19" s="7" t="s">
        <v>23</v>
      </c>
    </row>
    <row r="20" spans="1:14" x14ac:dyDescent="0.3">
      <c r="A20" s="12"/>
      <c r="D20" s="10" t="s">
        <v>12</v>
      </c>
      <c r="E20" s="8">
        <v>9257575</v>
      </c>
      <c r="F20" s="11">
        <v>20.9</v>
      </c>
      <c r="G20" s="8">
        <v>3793412</v>
      </c>
      <c r="J20" s="9">
        <v>29593844</v>
      </c>
      <c r="L20" s="8">
        <v>10660088</v>
      </c>
      <c r="N20" s="11">
        <v>10365</v>
      </c>
    </row>
    <row r="21" spans="1:14" x14ac:dyDescent="0.3">
      <c r="A21" s="12"/>
      <c r="D21" s="10" t="s">
        <v>16</v>
      </c>
      <c r="E21" s="8">
        <v>11604754</v>
      </c>
      <c r="F21" s="11">
        <v>16.430000000000003</v>
      </c>
      <c r="G21" s="8">
        <v>4002044</v>
      </c>
    </row>
    <row r="22" spans="1:14" x14ac:dyDescent="0.3">
      <c r="A22" s="12"/>
      <c r="D22" s="10" t="s">
        <v>9</v>
      </c>
      <c r="E22" s="8">
        <v>8731515</v>
      </c>
      <c r="F22" s="11">
        <v>10.02</v>
      </c>
      <c r="G22" s="8">
        <v>2864632</v>
      </c>
    </row>
    <row r="23" spans="1:14" x14ac:dyDescent="0.3">
      <c r="A23" s="12"/>
      <c r="D23" s="10" t="s">
        <v>19</v>
      </c>
      <c r="E23" s="8">
        <v>29593844</v>
      </c>
      <c r="F23" s="11">
        <v>47.349999999999994</v>
      </c>
      <c r="G23" s="8">
        <v>10660088</v>
      </c>
      <c r="J23" s="7" t="s">
        <v>24</v>
      </c>
    </row>
    <row r="24" spans="1:14" x14ac:dyDescent="0.3">
      <c r="A24" s="12"/>
      <c r="J24" s="11">
        <v>47.350000000000023</v>
      </c>
    </row>
    <row r="25" spans="1:14" x14ac:dyDescent="0.3">
      <c r="A25" s="12"/>
    </row>
    <row r="26" spans="1:14" x14ac:dyDescent="0.3">
      <c r="A26" s="12"/>
    </row>
    <row r="27" spans="1:14" x14ac:dyDescent="0.3">
      <c r="A27" s="12"/>
    </row>
    <row r="28" spans="1:14" x14ac:dyDescent="0.3">
      <c r="A28" s="12"/>
    </row>
    <row r="29" spans="1:14" x14ac:dyDescent="0.3">
      <c r="A29" s="12"/>
      <c r="D29" s="7" t="s">
        <v>3</v>
      </c>
      <c r="E29" s="8" t="s">
        <v>26</v>
      </c>
      <c r="F29" s="8" t="s">
        <v>22</v>
      </c>
      <c r="G29" s="7" t="s">
        <v>23</v>
      </c>
    </row>
    <row r="30" spans="1:14" x14ac:dyDescent="0.3">
      <c r="A30" s="12"/>
      <c r="D30" s="10" t="s">
        <v>11</v>
      </c>
      <c r="E30" s="8">
        <v>9676867</v>
      </c>
      <c r="F30" s="8">
        <v>3658669</v>
      </c>
      <c r="G30" s="11">
        <v>3400</v>
      </c>
    </row>
    <row r="31" spans="1:14" x14ac:dyDescent="0.3">
      <c r="A31" s="12"/>
      <c r="D31" s="10" t="s">
        <v>13</v>
      </c>
      <c r="E31" s="8">
        <v>6388761</v>
      </c>
      <c r="F31" s="8">
        <v>1932617</v>
      </c>
      <c r="G31" s="11">
        <v>2195</v>
      </c>
    </row>
    <row r="32" spans="1:14" x14ac:dyDescent="0.3">
      <c r="A32" s="12"/>
      <c r="D32" s="10" t="s">
        <v>10</v>
      </c>
      <c r="E32" s="8">
        <v>6844740</v>
      </c>
      <c r="F32" s="8">
        <v>2468359</v>
      </c>
      <c r="G32" s="11">
        <v>2492</v>
      </c>
    </row>
    <row r="33" spans="1:8" x14ac:dyDescent="0.3">
      <c r="A33" s="12"/>
      <c r="D33" s="10" t="s">
        <v>15</v>
      </c>
      <c r="E33" s="8">
        <v>6683476</v>
      </c>
      <c r="F33" s="8">
        <v>2600443</v>
      </c>
      <c r="G33" s="11">
        <v>2278</v>
      </c>
    </row>
    <row r="34" spans="1:8" x14ac:dyDescent="0.3">
      <c r="A34" s="12"/>
      <c r="D34" s="10" t="s">
        <v>19</v>
      </c>
      <c r="E34" s="8">
        <v>29593844</v>
      </c>
      <c r="F34" s="8">
        <v>10660088</v>
      </c>
      <c r="G34" s="11">
        <v>10365</v>
      </c>
    </row>
    <row r="35" spans="1:8" x14ac:dyDescent="0.3">
      <c r="A35" s="12"/>
    </row>
    <row r="36" spans="1:8" x14ac:dyDescent="0.3">
      <c r="A36" s="12"/>
    </row>
    <row r="37" spans="1:8" x14ac:dyDescent="0.3">
      <c r="A37" s="12"/>
    </row>
    <row r="38" spans="1:8" x14ac:dyDescent="0.3">
      <c r="A38" s="12"/>
    </row>
    <row r="39" spans="1:8" x14ac:dyDescent="0.3">
      <c r="A39" s="12"/>
    </row>
    <row r="40" spans="1:8" x14ac:dyDescent="0.3">
      <c r="A40" s="12"/>
    </row>
    <row r="41" spans="1:8" x14ac:dyDescent="0.3">
      <c r="A41" s="12"/>
    </row>
    <row r="42" spans="1:8" x14ac:dyDescent="0.3">
      <c r="A42" s="12"/>
      <c r="D42" s="7" t="s">
        <v>22</v>
      </c>
      <c r="E42" s="7" t="s">
        <v>27</v>
      </c>
    </row>
    <row r="43" spans="1:8" x14ac:dyDescent="0.3">
      <c r="A43" s="12"/>
      <c r="D43" s="7" t="s">
        <v>1</v>
      </c>
      <c r="E43" s="8" t="s">
        <v>12</v>
      </c>
      <c r="F43" s="8" t="s">
        <v>16</v>
      </c>
      <c r="G43" s="8" t="s">
        <v>9</v>
      </c>
      <c r="H43" s="8" t="s">
        <v>19</v>
      </c>
    </row>
    <row r="44" spans="1:8" x14ac:dyDescent="0.3">
      <c r="A44" s="12"/>
      <c r="D44" s="10" t="s">
        <v>14</v>
      </c>
      <c r="E44" s="8">
        <v>1137915</v>
      </c>
      <c r="F44" s="8">
        <v>405468</v>
      </c>
      <c r="G44" s="8">
        <v>982813</v>
      </c>
      <c r="H44" s="8">
        <v>2526196</v>
      </c>
    </row>
    <row r="45" spans="1:8" x14ac:dyDescent="0.3">
      <c r="A45" s="12"/>
      <c r="D45" s="10" t="s">
        <v>18</v>
      </c>
      <c r="E45" s="8">
        <v>455895</v>
      </c>
      <c r="F45" s="8">
        <v>1431867</v>
      </c>
      <c r="G45" s="8">
        <v>570568</v>
      </c>
      <c r="H45" s="8">
        <v>2458330</v>
      </c>
    </row>
    <row r="46" spans="1:8" x14ac:dyDescent="0.3">
      <c r="A46" s="12"/>
      <c r="D46" s="10" t="s">
        <v>17</v>
      </c>
      <c r="E46" s="8">
        <v>918334</v>
      </c>
      <c r="F46" s="8">
        <v>1175388</v>
      </c>
      <c r="G46" s="8">
        <v>719029</v>
      </c>
      <c r="H46" s="8">
        <v>2812751</v>
      </c>
    </row>
    <row r="47" spans="1:8" x14ac:dyDescent="0.3">
      <c r="A47" s="12"/>
      <c r="D47" s="10" t="s">
        <v>8</v>
      </c>
      <c r="E47" s="8">
        <v>1281268</v>
      </c>
      <c r="F47" s="8">
        <v>989321</v>
      </c>
      <c r="G47" s="8">
        <v>592222</v>
      </c>
      <c r="H47" s="8">
        <v>2862811</v>
      </c>
    </row>
    <row r="48" spans="1:8" x14ac:dyDescent="0.3">
      <c r="A48" s="12"/>
      <c r="D48" s="10" t="s">
        <v>19</v>
      </c>
      <c r="E48" s="8">
        <v>3793412</v>
      </c>
      <c r="F48" s="8">
        <v>4002044</v>
      </c>
      <c r="G48" s="8">
        <v>2864632</v>
      </c>
      <c r="H48" s="8">
        <v>10660088</v>
      </c>
    </row>
    <row r="49" spans="1:5" x14ac:dyDescent="0.3">
      <c r="A49" s="12"/>
    </row>
    <row r="50" spans="1:5" x14ac:dyDescent="0.3">
      <c r="A50" s="12"/>
    </row>
    <row r="51" spans="1:5" x14ac:dyDescent="0.3">
      <c r="A51" s="12"/>
    </row>
    <row r="52" spans="1:5" x14ac:dyDescent="0.3">
      <c r="A52" s="12"/>
    </row>
    <row r="53" spans="1:5" x14ac:dyDescent="0.3">
      <c r="A53" s="12"/>
    </row>
    <row r="54" spans="1:5" x14ac:dyDescent="0.3">
      <c r="A54" s="12"/>
    </row>
    <row r="55" spans="1:5" x14ac:dyDescent="0.3">
      <c r="A55" s="12"/>
      <c r="D55" s="7" t="s">
        <v>2</v>
      </c>
      <c r="E55" s="7" t="s">
        <v>24</v>
      </c>
    </row>
    <row r="56" spans="1:5" x14ac:dyDescent="0.3">
      <c r="A56" s="12"/>
      <c r="D56" s="10" t="s">
        <v>12</v>
      </c>
      <c r="E56" s="11">
        <v>20.9</v>
      </c>
    </row>
    <row r="57" spans="1:5" x14ac:dyDescent="0.3">
      <c r="A57" s="12"/>
      <c r="D57" s="10" t="s">
        <v>16</v>
      </c>
      <c r="E57" s="11">
        <v>16.430000000000003</v>
      </c>
    </row>
    <row r="58" spans="1:5" x14ac:dyDescent="0.3">
      <c r="A58" s="12"/>
      <c r="D58" s="10" t="s">
        <v>9</v>
      </c>
      <c r="E58" s="11">
        <v>10.02</v>
      </c>
    </row>
    <row r="59" spans="1:5" x14ac:dyDescent="0.3">
      <c r="A59" s="12"/>
      <c r="D59" s="10" t="s">
        <v>19</v>
      </c>
      <c r="E59" s="11">
        <v>47.349999999999994</v>
      </c>
    </row>
    <row r="60" spans="1:5" x14ac:dyDescent="0.3">
      <c r="A60" s="12"/>
    </row>
    <row r="61" spans="1:5" x14ac:dyDescent="0.3">
      <c r="A61" s="12"/>
    </row>
    <row r="62" spans="1:5" x14ac:dyDescent="0.3">
      <c r="A62" s="12"/>
    </row>
    <row r="63" spans="1:5" x14ac:dyDescent="0.3">
      <c r="A63" s="12"/>
    </row>
    <row r="64" spans="1:5" x14ac:dyDescent="0.3">
      <c r="A64" s="12"/>
    </row>
    <row r="65" spans="1:5" x14ac:dyDescent="0.3">
      <c r="A65" s="12"/>
    </row>
    <row r="66" spans="1:5" x14ac:dyDescent="0.3">
      <c r="A66" s="12"/>
      <c r="D66" s="7" t="s">
        <v>1</v>
      </c>
      <c r="E66" s="7" t="s">
        <v>28</v>
      </c>
    </row>
    <row r="67" spans="1:5" x14ac:dyDescent="0.3">
      <c r="A67" s="12"/>
      <c r="D67" s="10" t="s">
        <v>14</v>
      </c>
      <c r="E67" s="11">
        <v>2405</v>
      </c>
    </row>
    <row r="68" spans="1:5" x14ac:dyDescent="0.3">
      <c r="A68" s="12"/>
      <c r="D68" s="10" t="s">
        <v>18</v>
      </c>
      <c r="E68" s="11">
        <v>2414</v>
      </c>
    </row>
    <row r="69" spans="1:5" x14ac:dyDescent="0.3">
      <c r="A69" s="12"/>
      <c r="D69" s="10" t="s">
        <v>17</v>
      </c>
      <c r="E69" s="11">
        <v>2177</v>
      </c>
    </row>
    <row r="70" spans="1:5" x14ac:dyDescent="0.3">
      <c r="A70" s="12"/>
      <c r="D70" s="10" t="s">
        <v>8</v>
      </c>
      <c r="E70" s="11">
        <v>3369</v>
      </c>
    </row>
    <row r="71" spans="1:5" x14ac:dyDescent="0.3">
      <c r="A71" s="12"/>
      <c r="D71" s="10" t="s">
        <v>19</v>
      </c>
      <c r="E71" s="11">
        <v>10365</v>
      </c>
    </row>
    <row r="72" spans="1:5" x14ac:dyDescent="0.3">
      <c r="A72" s="12"/>
    </row>
    <row r="73" spans="1:5" x14ac:dyDescent="0.3">
      <c r="A73" s="12"/>
    </row>
    <row r="74" spans="1:5" x14ac:dyDescent="0.3">
      <c r="A74" s="12"/>
    </row>
    <row r="75" spans="1:5" x14ac:dyDescent="0.3">
      <c r="A75" s="12"/>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AAE9-460B-4D7D-AF77-A96CE0AD6C81}">
  <dimension ref="A1:A60"/>
  <sheetViews>
    <sheetView showGridLines="0" showRowColHeaders="0" workbookViewId="0">
      <selection activeCell="A11" sqref="A11"/>
    </sheetView>
  </sheetViews>
  <sheetFormatPr defaultRowHeight="14.4" zeroHeight="1" x14ac:dyDescent="0.3"/>
  <cols>
    <col min="1" max="16384" width="8.88671875" style="5"/>
  </cols>
  <sheetData>
    <row r="1" spans="1:1" x14ac:dyDescent="0.3">
      <c r="A1" s="12"/>
    </row>
    <row r="2" spans="1:1" x14ac:dyDescent="0.3">
      <c r="A2" s="12"/>
    </row>
    <row r="3" spans="1:1" x14ac:dyDescent="0.3">
      <c r="A3" s="12"/>
    </row>
    <row r="4" spans="1:1" x14ac:dyDescent="0.3">
      <c r="A4" s="12"/>
    </row>
    <row r="5" spans="1:1" x14ac:dyDescent="0.3">
      <c r="A5" s="12"/>
    </row>
    <row r="6" spans="1:1" x14ac:dyDescent="0.3">
      <c r="A6" s="12"/>
    </row>
    <row r="7" spans="1:1" x14ac:dyDescent="0.3">
      <c r="A7" s="12"/>
    </row>
    <row r="8" spans="1:1" x14ac:dyDescent="0.3">
      <c r="A8" s="12"/>
    </row>
    <row r="9" spans="1:1" x14ac:dyDescent="0.3">
      <c r="A9" s="12"/>
    </row>
    <row r="10" spans="1:1" x14ac:dyDescent="0.3">
      <c r="A10" s="12"/>
    </row>
    <row r="11" spans="1:1" x14ac:dyDescent="0.3">
      <c r="A11" s="12"/>
    </row>
    <row r="12" spans="1:1" x14ac:dyDescent="0.3">
      <c r="A12" s="12"/>
    </row>
    <row r="13" spans="1:1" x14ac:dyDescent="0.3">
      <c r="A13" s="12"/>
    </row>
    <row r="14" spans="1:1" x14ac:dyDescent="0.3">
      <c r="A14" s="12"/>
    </row>
    <row r="15" spans="1:1" x14ac:dyDescent="0.3">
      <c r="A15" s="12"/>
    </row>
    <row r="16" spans="1:1" x14ac:dyDescent="0.3">
      <c r="A16" s="12"/>
    </row>
    <row r="17" spans="1:1" x14ac:dyDescent="0.3">
      <c r="A17" s="12"/>
    </row>
    <row r="18" spans="1:1" x14ac:dyDescent="0.3">
      <c r="A18" s="12"/>
    </row>
    <row r="19" spans="1:1" x14ac:dyDescent="0.3">
      <c r="A19" s="12"/>
    </row>
    <row r="20" spans="1:1" x14ac:dyDescent="0.3">
      <c r="A20" s="12"/>
    </row>
    <row r="21" spans="1:1" x14ac:dyDescent="0.3">
      <c r="A21" s="12"/>
    </row>
    <row r="22" spans="1:1" x14ac:dyDescent="0.3">
      <c r="A22" s="12"/>
    </row>
    <row r="23" spans="1:1" x14ac:dyDescent="0.3">
      <c r="A23" s="12"/>
    </row>
    <row r="24" spans="1:1" x14ac:dyDescent="0.3">
      <c r="A24" s="12"/>
    </row>
    <row r="25" spans="1:1" x14ac:dyDescent="0.3">
      <c r="A25" s="12"/>
    </row>
    <row r="26" spans="1:1" x14ac:dyDescent="0.3">
      <c r="A26" s="12"/>
    </row>
    <row r="27" spans="1:1" x14ac:dyDescent="0.3">
      <c r="A27" s="12"/>
    </row>
    <row r="28" spans="1:1" x14ac:dyDescent="0.3">
      <c r="A28" s="12"/>
    </row>
    <row r="29" spans="1:1" x14ac:dyDescent="0.3">
      <c r="A29" s="12"/>
    </row>
    <row r="30" spans="1:1" x14ac:dyDescent="0.3">
      <c r="A30" s="12"/>
    </row>
    <row r="31" spans="1:1" x14ac:dyDescent="0.3">
      <c r="A31" s="12"/>
    </row>
    <row r="32" spans="1:1" x14ac:dyDescent="0.3">
      <c r="A32" s="12"/>
    </row>
    <row r="33" spans="1:1" x14ac:dyDescent="0.3">
      <c r="A33" s="12"/>
    </row>
    <row r="34" spans="1:1" x14ac:dyDescent="0.3">
      <c r="A34" s="12"/>
    </row>
    <row r="35" spans="1:1" x14ac:dyDescent="0.3">
      <c r="A35" s="12"/>
    </row>
    <row r="36" spans="1:1" x14ac:dyDescent="0.3">
      <c r="A36" s="12"/>
    </row>
    <row r="37" spans="1:1" x14ac:dyDescent="0.3">
      <c r="A37" s="12"/>
    </row>
    <row r="38" spans="1:1" x14ac:dyDescent="0.3">
      <c r="A38" s="12"/>
    </row>
    <row r="39" spans="1:1" x14ac:dyDescent="0.3">
      <c r="A39" s="12"/>
    </row>
    <row r="40" spans="1:1" x14ac:dyDescent="0.3">
      <c r="A40" s="12"/>
    </row>
    <row r="41" spans="1:1" x14ac:dyDescent="0.3">
      <c r="A41" s="12"/>
    </row>
    <row r="42" spans="1:1" x14ac:dyDescent="0.3">
      <c r="A42" s="12"/>
    </row>
    <row r="43" spans="1:1" x14ac:dyDescent="0.3">
      <c r="A43" s="12"/>
    </row>
    <row r="44" spans="1:1" x14ac:dyDescent="0.3">
      <c r="A44" s="12"/>
    </row>
    <row r="45" spans="1:1" x14ac:dyDescent="0.3">
      <c r="A45" s="12"/>
    </row>
    <row r="46" spans="1:1" x14ac:dyDescent="0.3">
      <c r="A46" s="12"/>
    </row>
    <row r="47" spans="1:1" x14ac:dyDescent="0.3">
      <c r="A47" s="12"/>
    </row>
    <row r="48" spans="1:1" x14ac:dyDescent="0.3">
      <c r="A48" s="12"/>
    </row>
    <row r="49" spans="1:1" x14ac:dyDescent="0.3">
      <c r="A49" s="12"/>
    </row>
    <row r="50" spans="1:1" x14ac:dyDescent="0.3">
      <c r="A50" s="12"/>
    </row>
    <row r="51" spans="1:1" x14ac:dyDescent="0.3">
      <c r="A51" s="12"/>
    </row>
    <row r="52" spans="1:1" x14ac:dyDescent="0.3">
      <c r="A52" s="12"/>
    </row>
    <row r="53" spans="1:1" x14ac:dyDescent="0.3">
      <c r="A53" s="12"/>
    </row>
    <row r="54" spans="1:1" x14ac:dyDescent="0.3">
      <c r="A54" s="12"/>
    </row>
    <row r="55" spans="1:1" x14ac:dyDescent="0.3">
      <c r="A55" s="12"/>
    </row>
    <row r="56" spans="1:1" x14ac:dyDescent="0.3">
      <c r="A56" s="12"/>
    </row>
    <row r="57" spans="1:1" x14ac:dyDescent="0.3">
      <c r="A57" s="12"/>
    </row>
    <row r="58" spans="1:1" x14ac:dyDescent="0.3">
      <c r="A58" s="12"/>
    </row>
    <row r="59" spans="1:1" x14ac:dyDescent="0.3">
      <c r="A59" s="12"/>
    </row>
    <row r="60" spans="1:1" x14ac:dyDescent="0.3">
      <c r="A60"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DB36-D22E-4081-9D54-E7F1B224C540}">
  <dimension ref="A1:K66"/>
  <sheetViews>
    <sheetView showGridLines="0" showRowColHeaders="0" workbookViewId="0">
      <selection activeCell="G3" sqref="G3"/>
    </sheetView>
  </sheetViews>
  <sheetFormatPr defaultColWidth="0" defaultRowHeight="14.4" zeroHeight="1" x14ac:dyDescent="0.3"/>
  <cols>
    <col min="1" max="11" width="8.88671875" style="6" customWidth="1"/>
    <col min="12" max="16384" width="8.88671875" style="6" hidden="1"/>
  </cols>
  <sheetData>
    <row r="1" spans="1:1" x14ac:dyDescent="0.3">
      <c r="A1" s="12"/>
    </row>
    <row r="2" spans="1:1" x14ac:dyDescent="0.3">
      <c r="A2" s="12"/>
    </row>
    <row r="3" spans="1:1" x14ac:dyDescent="0.3">
      <c r="A3" s="12"/>
    </row>
    <row r="4" spans="1:1" x14ac:dyDescent="0.3">
      <c r="A4" s="12"/>
    </row>
    <row r="5" spans="1:1" x14ac:dyDescent="0.3">
      <c r="A5" s="12"/>
    </row>
    <row r="6" spans="1:1" x14ac:dyDescent="0.3">
      <c r="A6" s="12"/>
    </row>
    <row r="7" spans="1:1" x14ac:dyDescent="0.3">
      <c r="A7" s="12"/>
    </row>
    <row r="8" spans="1:1" x14ac:dyDescent="0.3">
      <c r="A8" s="12"/>
    </row>
    <row r="9" spans="1:1" x14ac:dyDescent="0.3">
      <c r="A9" s="12"/>
    </row>
    <row r="10" spans="1:1" x14ac:dyDescent="0.3">
      <c r="A10" s="12"/>
    </row>
    <row r="11" spans="1:1" x14ac:dyDescent="0.3">
      <c r="A11" s="12"/>
    </row>
    <row r="12" spans="1:1" x14ac:dyDescent="0.3">
      <c r="A12" s="12"/>
    </row>
    <row r="13" spans="1:1" x14ac:dyDescent="0.3">
      <c r="A13" s="12"/>
    </row>
    <row r="14" spans="1:1" x14ac:dyDescent="0.3">
      <c r="A14" s="12"/>
    </row>
    <row r="15" spans="1:1" x14ac:dyDescent="0.3">
      <c r="A15" s="12"/>
    </row>
    <row r="16" spans="1:1" x14ac:dyDescent="0.3">
      <c r="A16" s="12"/>
    </row>
    <row r="17" spans="1:1" x14ac:dyDescent="0.3">
      <c r="A17" s="12"/>
    </row>
    <row r="18" spans="1:1" x14ac:dyDescent="0.3">
      <c r="A18" s="12"/>
    </row>
    <row r="19" spans="1:1" x14ac:dyDescent="0.3">
      <c r="A19" s="12"/>
    </row>
    <row r="20" spans="1:1" x14ac:dyDescent="0.3">
      <c r="A20" s="12"/>
    </row>
    <row r="21" spans="1:1" x14ac:dyDescent="0.3">
      <c r="A21" s="12"/>
    </row>
    <row r="22" spans="1:1" x14ac:dyDescent="0.3">
      <c r="A22" s="12"/>
    </row>
    <row r="23" spans="1:1" x14ac:dyDescent="0.3">
      <c r="A23" s="12"/>
    </row>
    <row r="24" spans="1:1" x14ac:dyDescent="0.3">
      <c r="A24" s="12"/>
    </row>
    <row r="25" spans="1:1" x14ac:dyDescent="0.3">
      <c r="A25" s="12"/>
    </row>
    <row r="26" spans="1:1" x14ac:dyDescent="0.3">
      <c r="A26" s="12"/>
    </row>
    <row r="27" spans="1:1" x14ac:dyDescent="0.3">
      <c r="A27" s="12"/>
    </row>
    <row r="28" spans="1:1" x14ac:dyDescent="0.3">
      <c r="A28" s="12"/>
    </row>
    <row r="29" spans="1:1" x14ac:dyDescent="0.3">
      <c r="A29" s="12"/>
    </row>
    <row r="30" spans="1:1" x14ac:dyDescent="0.3">
      <c r="A30" s="12"/>
    </row>
    <row r="31" spans="1:1" x14ac:dyDescent="0.3">
      <c r="A31" s="12"/>
    </row>
    <row r="32" spans="1:1" x14ac:dyDescent="0.3">
      <c r="A32" s="12"/>
    </row>
    <row r="33" spans="1:1" x14ac:dyDescent="0.3">
      <c r="A33" s="12"/>
    </row>
    <row r="34" spans="1:1" x14ac:dyDescent="0.3">
      <c r="A34" s="12"/>
    </row>
    <row r="35" spans="1:1" x14ac:dyDescent="0.3">
      <c r="A35" s="12"/>
    </row>
    <row r="36" spans="1:1" x14ac:dyDescent="0.3">
      <c r="A36" s="12"/>
    </row>
    <row r="37" spans="1:1" x14ac:dyDescent="0.3">
      <c r="A37" s="12"/>
    </row>
    <row r="38" spans="1:1" x14ac:dyDescent="0.3">
      <c r="A38" s="12"/>
    </row>
    <row r="65" s="6" customFormat="1" hidden="1" x14ac:dyDescent="0.3"/>
    <row r="66" s="6"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sales_dataset</vt:lpstr>
      <vt:lpstr>Pivot</vt:lpstr>
      <vt:lpstr>DashBoard</vt:lpstr>
      <vt:lpstr>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janodya sammani</dc:creator>
  <cp:lastModifiedBy>janodya sammani</cp:lastModifiedBy>
  <dcterms:created xsi:type="dcterms:W3CDTF">2026-03-22T13:43:40Z</dcterms:created>
  <dcterms:modified xsi:type="dcterms:W3CDTF">2026-05-02T06:31:22Z</dcterms:modified>
</cp:coreProperties>
</file>